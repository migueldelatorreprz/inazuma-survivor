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igue\Desktop\inazuma_rogue_jugadores\IE1_por_equipos\"/>
    </mc:Choice>
  </mc:AlternateContent>
  <xr:revisionPtr revIDLastSave="0" documentId="13_ncr:1_{4D3F54F9-77C4-442C-AE4D-89DFF8940B21}" xr6:coauthVersionLast="47" xr6:coauthVersionMax="47" xr10:uidLastSave="{00000000-0000-0000-0000-000000000000}"/>
  <bookViews>
    <workbookView xWindow="-120" yWindow="-120" windowWidth="29040" windowHeight="15840" tabRatio="500" activeTab="1" xr2:uid="{00000000-000D-0000-FFFF-FFFF00000000}"/>
  </bookViews>
  <sheets>
    <sheet name="Ficha" sheetId="1" r:id="rId1"/>
    <sheet name="IE1" sheetId="2" r:id="rId2"/>
    <sheet name="Stats base" sheetId="3" r:id="rId3"/>
    <sheet name="Variación" sheetId="4" r:id="rId4"/>
    <sheet name="Rarezas" sheetId="5" r:id="rId5"/>
    <sheet name="Cambios afinidad" sheetId="6" r:id="rId6"/>
  </sheets>
  <definedNames>
    <definedName name="_xlnm._FilterDatabase" localSheetId="1" hidden="1">'IE1'!$A$2:$P$228</definedName>
    <definedName name="_xlnm._FilterDatabase" localSheetId="3" hidden="1">Variación!$A$2:$H$228</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6" i="5" l="1"/>
  <c r="C5" i="5"/>
  <c r="C4" i="5"/>
  <c r="C3" i="5"/>
  <c r="C2" i="5"/>
  <c r="P228" i="2"/>
  <c r="O228" i="2"/>
  <c r="N228" i="2"/>
  <c r="M228" i="2"/>
  <c r="L228" i="2"/>
  <c r="K228" i="2"/>
  <c r="P227" i="2"/>
  <c r="O227" i="2"/>
  <c r="N227" i="2"/>
  <c r="M227" i="2"/>
  <c r="L227" i="2"/>
  <c r="K227" i="2"/>
  <c r="P226" i="2"/>
  <c r="O226" i="2"/>
  <c r="N226" i="2"/>
  <c r="M226" i="2"/>
  <c r="L226" i="2"/>
  <c r="K226" i="2"/>
  <c r="P225" i="2"/>
  <c r="O225" i="2"/>
  <c r="N225" i="2"/>
  <c r="M225" i="2"/>
  <c r="L225" i="2"/>
  <c r="K225" i="2"/>
  <c r="P224" i="2"/>
  <c r="O224" i="2"/>
  <c r="N224" i="2"/>
  <c r="M224" i="2"/>
  <c r="L224" i="2"/>
  <c r="K224" i="2"/>
  <c r="P223" i="2"/>
  <c r="O223" i="2"/>
  <c r="N223" i="2"/>
  <c r="M223" i="2"/>
  <c r="L223" i="2"/>
  <c r="K223" i="2"/>
  <c r="P222" i="2"/>
  <c r="O222" i="2"/>
  <c r="N222" i="2"/>
  <c r="M222" i="2"/>
  <c r="L222" i="2"/>
  <c r="K222" i="2"/>
  <c r="P221" i="2"/>
  <c r="O221" i="2"/>
  <c r="N221" i="2"/>
  <c r="M221" i="2"/>
  <c r="L221" i="2"/>
  <c r="K221" i="2"/>
  <c r="P220" i="2"/>
  <c r="O220" i="2"/>
  <c r="N220" i="2"/>
  <c r="M220" i="2"/>
  <c r="L220" i="2"/>
  <c r="K220" i="2"/>
  <c r="P219" i="2"/>
  <c r="O219" i="2"/>
  <c r="N219" i="2"/>
  <c r="M219" i="2"/>
  <c r="L219" i="2"/>
  <c r="K219" i="2"/>
  <c r="P218" i="2"/>
  <c r="O218" i="2"/>
  <c r="N218" i="2"/>
  <c r="M218" i="2"/>
  <c r="L218" i="2"/>
  <c r="K218" i="2"/>
  <c r="P217" i="2"/>
  <c r="O217" i="2"/>
  <c r="N217" i="2"/>
  <c r="M217" i="2"/>
  <c r="L217" i="2"/>
  <c r="K217" i="2"/>
  <c r="P216" i="2"/>
  <c r="O216" i="2"/>
  <c r="N216" i="2"/>
  <c r="M216" i="2"/>
  <c r="L216" i="2"/>
  <c r="K216" i="2"/>
  <c r="P215" i="2"/>
  <c r="O215" i="2"/>
  <c r="N215" i="2"/>
  <c r="M215" i="2"/>
  <c r="L215" i="2"/>
  <c r="K215" i="2"/>
  <c r="P214" i="2"/>
  <c r="O214" i="2"/>
  <c r="N214" i="2"/>
  <c r="M214" i="2"/>
  <c r="L214" i="2"/>
  <c r="K214" i="2"/>
  <c r="P213" i="2"/>
  <c r="O213" i="2"/>
  <c r="N213" i="2"/>
  <c r="M213" i="2"/>
  <c r="L213" i="2"/>
  <c r="K213" i="2"/>
  <c r="P212" i="2"/>
  <c r="O212" i="2"/>
  <c r="N212" i="2"/>
  <c r="M212" i="2"/>
  <c r="L212" i="2"/>
  <c r="K212" i="2"/>
  <c r="P211" i="2"/>
  <c r="O211" i="2"/>
  <c r="N211" i="2"/>
  <c r="M211" i="2"/>
  <c r="L211" i="2"/>
  <c r="K211" i="2"/>
  <c r="P210" i="2"/>
  <c r="O210" i="2"/>
  <c r="N210" i="2"/>
  <c r="M210" i="2"/>
  <c r="L210" i="2"/>
  <c r="K210" i="2"/>
  <c r="P209" i="2"/>
  <c r="O209" i="2"/>
  <c r="N209" i="2"/>
  <c r="M209" i="2"/>
  <c r="L209" i="2"/>
  <c r="K209" i="2"/>
  <c r="P208" i="2"/>
  <c r="O208" i="2"/>
  <c r="N208" i="2"/>
  <c r="M208" i="2"/>
  <c r="L208" i="2"/>
  <c r="K208" i="2"/>
  <c r="P207" i="2"/>
  <c r="O207" i="2"/>
  <c r="N207" i="2"/>
  <c r="M207" i="2"/>
  <c r="L207" i="2"/>
  <c r="K207" i="2"/>
  <c r="P206" i="2"/>
  <c r="O206" i="2"/>
  <c r="N206" i="2"/>
  <c r="M206" i="2"/>
  <c r="L206" i="2"/>
  <c r="K206" i="2"/>
  <c r="P205" i="2"/>
  <c r="O205" i="2"/>
  <c r="N205" i="2"/>
  <c r="M205" i="2"/>
  <c r="L205" i="2"/>
  <c r="K205" i="2"/>
  <c r="P204" i="2"/>
  <c r="O204" i="2"/>
  <c r="N204" i="2"/>
  <c r="M204" i="2"/>
  <c r="L204" i="2"/>
  <c r="K204" i="2"/>
  <c r="P203" i="2"/>
  <c r="O203" i="2"/>
  <c r="N203" i="2"/>
  <c r="M203" i="2"/>
  <c r="L203" i="2"/>
  <c r="K203" i="2"/>
  <c r="P202" i="2"/>
  <c r="O202" i="2"/>
  <c r="N202" i="2"/>
  <c r="M202" i="2"/>
  <c r="L202" i="2"/>
  <c r="K202" i="2"/>
  <c r="P201" i="2"/>
  <c r="O201" i="2"/>
  <c r="N201" i="2"/>
  <c r="M201" i="2"/>
  <c r="L201" i="2"/>
  <c r="K201" i="2"/>
  <c r="P200" i="2"/>
  <c r="O200" i="2"/>
  <c r="N200" i="2"/>
  <c r="M200" i="2"/>
  <c r="L200" i="2"/>
  <c r="K200" i="2"/>
  <c r="P199" i="2"/>
  <c r="O199" i="2"/>
  <c r="N199" i="2"/>
  <c r="M199" i="2"/>
  <c r="L199" i="2"/>
  <c r="K199" i="2"/>
  <c r="P198" i="2"/>
  <c r="O198" i="2"/>
  <c r="N198" i="2"/>
  <c r="M198" i="2"/>
  <c r="L198" i="2"/>
  <c r="K198" i="2"/>
  <c r="P197" i="2"/>
  <c r="O197" i="2"/>
  <c r="N197" i="2"/>
  <c r="M197" i="2"/>
  <c r="L197" i="2"/>
  <c r="K197" i="2"/>
  <c r="P196" i="2"/>
  <c r="O196" i="2"/>
  <c r="N196" i="2"/>
  <c r="M196" i="2"/>
  <c r="L196" i="2"/>
  <c r="K196" i="2"/>
  <c r="P195" i="2"/>
  <c r="O195" i="2"/>
  <c r="N195" i="2"/>
  <c r="M195" i="2"/>
  <c r="L195" i="2"/>
  <c r="K195" i="2"/>
  <c r="P194" i="2"/>
  <c r="O194" i="2"/>
  <c r="N194" i="2"/>
  <c r="M194" i="2"/>
  <c r="L194" i="2"/>
  <c r="K194" i="2"/>
  <c r="P193" i="2"/>
  <c r="O193" i="2"/>
  <c r="N193" i="2"/>
  <c r="M193" i="2"/>
  <c r="L193" i="2"/>
  <c r="K193" i="2"/>
  <c r="P192" i="2"/>
  <c r="O192" i="2"/>
  <c r="N192" i="2"/>
  <c r="M192" i="2"/>
  <c r="L192" i="2"/>
  <c r="K192" i="2"/>
  <c r="P191" i="2"/>
  <c r="O191" i="2"/>
  <c r="N191" i="2"/>
  <c r="M191" i="2"/>
  <c r="L191" i="2"/>
  <c r="K191" i="2"/>
  <c r="P190" i="2"/>
  <c r="O190" i="2"/>
  <c r="N190" i="2"/>
  <c r="M190" i="2"/>
  <c r="L190" i="2"/>
  <c r="K190" i="2"/>
  <c r="P189" i="2"/>
  <c r="O189" i="2"/>
  <c r="N189" i="2"/>
  <c r="M189" i="2"/>
  <c r="L189" i="2"/>
  <c r="K189" i="2"/>
  <c r="P188" i="2"/>
  <c r="O188" i="2"/>
  <c r="N188" i="2"/>
  <c r="M188" i="2"/>
  <c r="L188" i="2"/>
  <c r="K188" i="2"/>
  <c r="P187" i="2"/>
  <c r="O187" i="2"/>
  <c r="N187" i="2"/>
  <c r="M187" i="2"/>
  <c r="L187" i="2"/>
  <c r="K187" i="2"/>
  <c r="P186" i="2"/>
  <c r="O186" i="2"/>
  <c r="N186" i="2"/>
  <c r="M186" i="2"/>
  <c r="L186" i="2"/>
  <c r="K186" i="2"/>
  <c r="P185" i="2"/>
  <c r="O185" i="2"/>
  <c r="N185" i="2"/>
  <c r="M185" i="2"/>
  <c r="L185" i="2"/>
  <c r="K185" i="2"/>
  <c r="P184" i="2"/>
  <c r="O184" i="2"/>
  <c r="N184" i="2"/>
  <c r="M184" i="2"/>
  <c r="L184" i="2"/>
  <c r="K184" i="2"/>
  <c r="P183" i="2"/>
  <c r="O183" i="2"/>
  <c r="N183" i="2"/>
  <c r="M183" i="2"/>
  <c r="L183" i="2"/>
  <c r="K183" i="2"/>
  <c r="P182" i="2"/>
  <c r="O182" i="2"/>
  <c r="N182" i="2"/>
  <c r="M182" i="2"/>
  <c r="L182" i="2"/>
  <c r="K182" i="2"/>
  <c r="P181" i="2"/>
  <c r="O181" i="2"/>
  <c r="N181" i="2"/>
  <c r="M181" i="2"/>
  <c r="L181" i="2"/>
  <c r="K181" i="2"/>
  <c r="P180" i="2"/>
  <c r="O180" i="2"/>
  <c r="N180" i="2"/>
  <c r="M180" i="2"/>
  <c r="L180" i="2"/>
  <c r="K180" i="2"/>
  <c r="P179" i="2"/>
  <c r="O179" i="2"/>
  <c r="N179" i="2"/>
  <c r="M179" i="2"/>
  <c r="L179" i="2"/>
  <c r="K179" i="2"/>
  <c r="P178" i="2"/>
  <c r="O178" i="2"/>
  <c r="N178" i="2"/>
  <c r="M178" i="2"/>
  <c r="L178" i="2"/>
  <c r="K178" i="2"/>
  <c r="P177" i="2"/>
  <c r="O177" i="2"/>
  <c r="N177" i="2"/>
  <c r="M177" i="2"/>
  <c r="L177" i="2"/>
  <c r="K177" i="2"/>
  <c r="P176" i="2"/>
  <c r="O176" i="2"/>
  <c r="N176" i="2"/>
  <c r="M176" i="2"/>
  <c r="L176" i="2"/>
  <c r="K176" i="2"/>
  <c r="P175" i="2"/>
  <c r="O175" i="2"/>
  <c r="N175" i="2"/>
  <c r="M175" i="2"/>
  <c r="L175" i="2"/>
  <c r="K175" i="2"/>
  <c r="P174" i="2"/>
  <c r="O174" i="2"/>
  <c r="N174" i="2"/>
  <c r="M174" i="2"/>
  <c r="L174" i="2"/>
  <c r="K174" i="2"/>
  <c r="P173" i="2"/>
  <c r="O173" i="2"/>
  <c r="N173" i="2"/>
  <c r="M173" i="2"/>
  <c r="L173" i="2"/>
  <c r="K173" i="2"/>
  <c r="P172" i="2"/>
  <c r="O172" i="2"/>
  <c r="N172" i="2"/>
  <c r="M172" i="2"/>
  <c r="L172" i="2"/>
  <c r="K172" i="2"/>
  <c r="P171" i="2"/>
  <c r="O171" i="2"/>
  <c r="N171" i="2"/>
  <c r="M171" i="2"/>
  <c r="L171" i="2"/>
  <c r="K171" i="2"/>
  <c r="P170" i="2"/>
  <c r="O170" i="2"/>
  <c r="N170" i="2"/>
  <c r="M170" i="2"/>
  <c r="L170" i="2"/>
  <c r="K170" i="2"/>
  <c r="P169" i="2"/>
  <c r="O169" i="2"/>
  <c r="N169" i="2"/>
  <c r="M169" i="2"/>
  <c r="L169" i="2"/>
  <c r="K169" i="2"/>
  <c r="P168" i="2"/>
  <c r="O168" i="2"/>
  <c r="N168" i="2"/>
  <c r="M168" i="2"/>
  <c r="L168" i="2"/>
  <c r="K168" i="2"/>
  <c r="P167" i="2"/>
  <c r="O167" i="2"/>
  <c r="N167" i="2"/>
  <c r="M167" i="2"/>
  <c r="L167" i="2"/>
  <c r="K167" i="2"/>
  <c r="P166" i="2"/>
  <c r="O166" i="2"/>
  <c r="N166" i="2"/>
  <c r="M166" i="2"/>
  <c r="L166" i="2"/>
  <c r="K166" i="2"/>
  <c r="P165" i="2"/>
  <c r="O165" i="2"/>
  <c r="N165" i="2"/>
  <c r="M165" i="2"/>
  <c r="L165" i="2"/>
  <c r="K165" i="2"/>
  <c r="P164" i="2"/>
  <c r="O164" i="2"/>
  <c r="N164" i="2"/>
  <c r="M164" i="2"/>
  <c r="L164" i="2"/>
  <c r="K164" i="2"/>
  <c r="P163" i="2"/>
  <c r="O163" i="2"/>
  <c r="N163" i="2"/>
  <c r="M163" i="2"/>
  <c r="L163" i="2"/>
  <c r="K163" i="2"/>
  <c r="P162" i="2"/>
  <c r="O162" i="2"/>
  <c r="N162" i="2"/>
  <c r="M162" i="2"/>
  <c r="L162" i="2"/>
  <c r="K162" i="2"/>
  <c r="P161" i="2"/>
  <c r="O161" i="2"/>
  <c r="N161" i="2"/>
  <c r="M161" i="2"/>
  <c r="L161" i="2"/>
  <c r="K161" i="2"/>
  <c r="P160" i="2"/>
  <c r="O160" i="2"/>
  <c r="N160" i="2"/>
  <c r="M160" i="2"/>
  <c r="L160" i="2"/>
  <c r="K160" i="2"/>
  <c r="P159" i="2"/>
  <c r="O159" i="2"/>
  <c r="N159" i="2"/>
  <c r="M159" i="2"/>
  <c r="L159" i="2"/>
  <c r="K159" i="2"/>
  <c r="P158" i="2"/>
  <c r="O158" i="2"/>
  <c r="N158" i="2"/>
  <c r="M158" i="2"/>
  <c r="L158" i="2"/>
  <c r="K158" i="2"/>
  <c r="P157" i="2"/>
  <c r="O157" i="2"/>
  <c r="N157" i="2"/>
  <c r="M157" i="2"/>
  <c r="L157" i="2"/>
  <c r="K157" i="2"/>
  <c r="P156" i="2"/>
  <c r="O156" i="2"/>
  <c r="N156" i="2"/>
  <c r="M156" i="2"/>
  <c r="L156" i="2"/>
  <c r="K156" i="2"/>
  <c r="P155" i="2"/>
  <c r="O155" i="2"/>
  <c r="N155" i="2"/>
  <c r="M155" i="2"/>
  <c r="L155" i="2"/>
  <c r="K155" i="2"/>
  <c r="P154" i="2"/>
  <c r="O154" i="2"/>
  <c r="N154" i="2"/>
  <c r="M154" i="2"/>
  <c r="L154" i="2"/>
  <c r="K154" i="2"/>
  <c r="P153" i="2"/>
  <c r="O153" i="2"/>
  <c r="N153" i="2"/>
  <c r="M153" i="2"/>
  <c r="L153" i="2"/>
  <c r="K153" i="2"/>
  <c r="P152" i="2"/>
  <c r="O152" i="2"/>
  <c r="N152" i="2"/>
  <c r="M152" i="2"/>
  <c r="L152" i="2"/>
  <c r="K152" i="2"/>
  <c r="P151" i="2"/>
  <c r="O151" i="2"/>
  <c r="N151" i="2"/>
  <c r="M151" i="2"/>
  <c r="L151" i="2"/>
  <c r="K151" i="2"/>
  <c r="P150" i="2"/>
  <c r="O150" i="2"/>
  <c r="N150" i="2"/>
  <c r="M150" i="2"/>
  <c r="L150" i="2"/>
  <c r="K150" i="2"/>
  <c r="P149" i="2"/>
  <c r="O149" i="2"/>
  <c r="N149" i="2"/>
  <c r="M149" i="2"/>
  <c r="L149" i="2"/>
  <c r="K149" i="2"/>
  <c r="P148" i="2"/>
  <c r="O148" i="2"/>
  <c r="N148" i="2"/>
  <c r="M148" i="2"/>
  <c r="L148" i="2"/>
  <c r="K148" i="2"/>
  <c r="P147" i="2"/>
  <c r="O147" i="2"/>
  <c r="N147" i="2"/>
  <c r="M147" i="2"/>
  <c r="L147" i="2"/>
  <c r="K147" i="2"/>
  <c r="P146" i="2"/>
  <c r="O146" i="2"/>
  <c r="N146" i="2"/>
  <c r="M146" i="2"/>
  <c r="L146" i="2"/>
  <c r="K146" i="2"/>
  <c r="P145" i="2"/>
  <c r="O145" i="2"/>
  <c r="N145" i="2"/>
  <c r="M145" i="2"/>
  <c r="L145" i="2"/>
  <c r="K145" i="2"/>
  <c r="P144" i="2"/>
  <c r="O144" i="2"/>
  <c r="N144" i="2"/>
  <c r="M144" i="2"/>
  <c r="L144" i="2"/>
  <c r="K144" i="2"/>
  <c r="P143" i="2"/>
  <c r="O143" i="2"/>
  <c r="N143" i="2"/>
  <c r="M143" i="2"/>
  <c r="L143" i="2"/>
  <c r="K143" i="2"/>
  <c r="P142" i="2"/>
  <c r="O142" i="2"/>
  <c r="N142" i="2"/>
  <c r="M142" i="2"/>
  <c r="L142" i="2"/>
  <c r="K142" i="2"/>
  <c r="P141" i="2"/>
  <c r="O141" i="2"/>
  <c r="N141" i="2"/>
  <c r="M141" i="2"/>
  <c r="L141" i="2"/>
  <c r="K141" i="2"/>
  <c r="P140" i="2"/>
  <c r="O140" i="2"/>
  <c r="N140" i="2"/>
  <c r="M140" i="2"/>
  <c r="L140" i="2"/>
  <c r="K140" i="2"/>
  <c r="P139" i="2"/>
  <c r="O139" i="2"/>
  <c r="N139" i="2"/>
  <c r="M139" i="2"/>
  <c r="L139" i="2"/>
  <c r="K139" i="2"/>
  <c r="P138" i="2"/>
  <c r="O138" i="2"/>
  <c r="N138" i="2"/>
  <c r="M138" i="2"/>
  <c r="L138" i="2"/>
  <c r="K138" i="2"/>
  <c r="P137" i="2"/>
  <c r="O137" i="2"/>
  <c r="N137" i="2"/>
  <c r="M137" i="2"/>
  <c r="L137" i="2"/>
  <c r="K137" i="2"/>
  <c r="P136" i="2"/>
  <c r="O136" i="2"/>
  <c r="N136" i="2"/>
  <c r="M136" i="2"/>
  <c r="L136" i="2"/>
  <c r="K136" i="2"/>
  <c r="P135" i="2"/>
  <c r="O135" i="2"/>
  <c r="N135" i="2"/>
  <c r="M135" i="2"/>
  <c r="L135" i="2"/>
  <c r="K135" i="2"/>
  <c r="P134" i="2"/>
  <c r="O134" i="2"/>
  <c r="N134" i="2"/>
  <c r="M134" i="2"/>
  <c r="L134" i="2"/>
  <c r="K134" i="2"/>
  <c r="P133" i="2"/>
  <c r="O133" i="2"/>
  <c r="N133" i="2"/>
  <c r="M133" i="2"/>
  <c r="L133" i="2"/>
  <c r="K133" i="2"/>
  <c r="P132" i="2"/>
  <c r="O132" i="2"/>
  <c r="N132" i="2"/>
  <c r="M132" i="2"/>
  <c r="L132" i="2"/>
  <c r="K132" i="2"/>
  <c r="P131" i="2"/>
  <c r="O131" i="2"/>
  <c r="N131" i="2"/>
  <c r="M131" i="2"/>
  <c r="L131" i="2"/>
  <c r="K131" i="2"/>
  <c r="P130" i="2"/>
  <c r="O130" i="2"/>
  <c r="N130" i="2"/>
  <c r="M130" i="2"/>
  <c r="L130" i="2"/>
  <c r="K130" i="2"/>
  <c r="P129" i="2"/>
  <c r="O129" i="2"/>
  <c r="N129" i="2"/>
  <c r="M129" i="2"/>
  <c r="L129" i="2"/>
  <c r="K129" i="2"/>
  <c r="P128" i="2"/>
  <c r="O128" i="2"/>
  <c r="N128" i="2"/>
  <c r="M128" i="2"/>
  <c r="L128" i="2"/>
  <c r="K128" i="2"/>
  <c r="P127" i="2"/>
  <c r="O127" i="2"/>
  <c r="N127" i="2"/>
  <c r="M127" i="2"/>
  <c r="L127" i="2"/>
  <c r="K127" i="2"/>
  <c r="P126" i="2"/>
  <c r="O126" i="2"/>
  <c r="N126" i="2"/>
  <c r="M126" i="2"/>
  <c r="L126" i="2"/>
  <c r="K126" i="2"/>
  <c r="P125" i="2"/>
  <c r="O125" i="2"/>
  <c r="N125" i="2"/>
  <c r="M125" i="2"/>
  <c r="L125" i="2"/>
  <c r="K125" i="2"/>
  <c r="P124" i="2"/>
  <c r="O124" i="2"/>
  <c r="N124" i="2"/>
  <c r="M124" i="2"/>
  <c r="L124" i="2"/>
  <c r="K124" i="2"/>
  <c r="P123" i="2"/>
  <c r="O123" i="2"/>
  <c r="N123" i="2"/>
  <c r="M123" i="2"/>
  <c r="L123" i="2"/>
  <c r="K123" i="2"/>
  <c r="P122" i="2"/>
  <c r="O122" i="2"/>
  <c r="N122" i="2"/>
  <c r="M122" i="2"/>
  <c r="L122" i="2"/>
  <c r="K122" i="2"/>
  <c r="P121" i="2"/>
  <c r="O121" i="2"/>
  <c r="N121" i="2"/>
  <c r="M121" i="2"/>
  <c r="L121" i="2"/>
  <c r="K121" i="2"/>
  <c r="P120" i="2"/>
  <c r="O120" i="2"/>
  <c r="N120" i="2"/>
  <c r="M120" i="2"/>
  <c r="L120" i="2"/>
  <c r="K120" i="2"/>
  <c r="P119" i="2"/>
  <c r="O119" i="2"/>
  <c r="N119" i="2"/>
  <c r="M119" i="2"/>
  <c r="L119" i="2"/>
  <c r="K119" i="2"/>
  <c r="P118" i="2"/>
  <c r="O118" i="2"/>
  <c r="N118" i="2"/>
  <c r="M118" i="2"/>
  <c r="L118" i="2"/>
  <c r="K118" i="2"/>
  <c r="P117" i="2"/>
  <c r="O117" i="2"/>
  <c r="N117" i="2"/>
  <c r="M117" i="2"/>
  <c r="L117" i="2"/>
  <c r="K117" i="2"/>
  <c r="P116" i="2"/>
  <c r="O116" i="2"/>
  <c r="N116" i="2"/>
  <c r="M116" i="2"/>
  <c r="L116" i="2"/>
  <c r="K116" i="2"/>
  <c r="P115" i="2"/>
  <c r="O115" i="2"/>
  <c r="N115" i="2"/>
  <c r="M115" i="2"/>
  <c r="L115" i="2"/>
  <c r="K115" i="2"/>
  <c r="P114" i="2"/>
  <c r="O114" i="2"/>
  <c r="N114" i="2"/>
  <c r="M114" i="2"/>
  <c r="L114" i="2"/>
  <c r="K114" i="2"/>
  <c r="P113" i="2"/>
  <c r="O113" i="2"/>
  <c r="N113" i="2"/>
  <c r="M113" i="2"/>
  <c r="L113" i="2"/>
  <c r="K113" i="2"/>
  <c r="P112" i="2"/>
  <c r="O112" i="2"/>
  <c r="N112" i="2"/>
  <c r="M112" i="2"/>
  <c r="L112" i="2"/>
  <c r="K112" i="2"/>
  <c r="P111" i="2"/>
  <c r="O111" i="2"/>
  <c r="N111" i="2"/>
  <c r="M111" i="2"/>
  <c r="L111" i="2"/>
  <c r="K111" i="2"/>
  <c r="P110" i="2"/>
  <c r="O110" i="2"/>
  <c r="N110" i="2"/>
  <c r="M110" i="2"/>
  <c r="L110" i="2"/>
  <c r="K110" i="2"/>
  <c r="P109" i="2"/>
  <c r="O109" i="2"/>
  <c r="N109" i="2"/>
  <c r="M109" i="2"/>
  <c r="L109" i="2"/>
  <c r="K109" i="2"/>
  <c r="P108" i="2"/>
  <c r="O108" i="2"/>
  <c r="N108" i="2"/>
  <c r="M108" i="2"/>
  <c r="L108" i="2"/>
  <c r="K108" i="2"/>
  <c r="P107" i="2"/>
  <c r="O107" i="2"/>
  <c r="N107" i="2"/>
  <c r="M107" i="2"/>
  <c r="L107" i="2"/>
  <c r="K107" i="2"/>
  <c r="P106" i="2"/>
  <c r="O106" i="2"/>
  <c r="N106" i="2"/>
  <c r="M106" i="2"/>
  <c r="L106" i="2"/>
  <c r="K106" i="2"/>
  <c r="P105" i="2"/>
  <c r="O105" i="2"/>
  <c r="N105" i="2"/>
  <c r="M105" i="2"/>
  <c r="L105" i="2"/>
  <c r="K105" i="2"/>
  <c r="P104" i="2"/>
  <c r="O104" i="2"/>
  <c r="N104" i="2"/>
  <c r="M104" i="2"/>
  <c r="L104" i="2"/>
  <c r="K104" i="2"/>
  <c r="P103" i="2"/>
  <c r="O103" i="2"/>
  <c r="N103" i="2"/>
  <c r="M103" i="2"/>
  <c r="L103" i="2"/>
  <c r="K103" i="2"/>
  <c r="P102" i="2"/>
  <c r="O102" i="2"/>
  <c r="N102" i="2"/>
  <c r="M102" i="2"/>
  <c r="L102" i="2"/>
  <c r="K102" i="2"/>
  <c r="P101" i="2"/>
  <c r="O101" i="2"/>
  <c r="N101" i="2"/>
  <c r="M101" i="2"/>
  <c r="L101" i="2"/>
  <c r="K101" i="2"/>
  <c r="P100" i="2"/>
  <c r="O100" i="2"/>
  <c r="N100" i="2"/>
  <c r="M100" i="2"/>
  <c r="L100" i="2"/>
  <c r="K100" i="2"/>
  <c r="P99" i="2"/>
  <c r="O99" i="2"/>
  <c r="N99" i="2"/>
  <c r="M99" i="2"/>
  <c r="L99" i="2"/>
  <c r="K99" i="2"/>
  <c r="P98" i="2"/>
  <c r="O98" i="2"/>
  <c r="N98" i="2"/>
  <c r="M98" i="2"/>
  <c r="L98" i="2"/>
  <c r="K98" i="2"/>
  <c r="P97" i="2"/>
  <c r="O97" i="2"/>
  <c r="N97" i="2"/>
  <c r="M97" i="2"/>
  <c r="L97" i="2"/>
  <c r="K97" i="2"/>
  <c r="P96" i="2"/>
  <c r="O96" i="2"/>
  <c r="N96" i="2"/>
  <c r="M96" i="2"/>
  <c r="L96" i="2"/>
  <c r="K96" i="2"/>
  <c r="P95" i="2"/>
  <c r="O95" i="2"/>
  <c r="N95" i="2"/>
  <c r="M95" i="2"/>
  <c r="L95" i="2"/>
  <c r="K95" i="2"/>
  <c r="P94" i="2"/>
  <c r="O94" i="2"/>
  <c r="N94" i="2"/>
  <c r="M94" i="2"/>
  <c r="L94" i="2"/>
  <c r="K94" i="2"/>
  <c r="P93" i="2"/>
  <c r="O93" i="2"/>
  <c r="N93" i="2"/>
  <c r="M93" i="2"/>
  <c r="L93" i="2"/>
  <c r="K93" i="2"/>
  <c r="P92" i="2"/>
  <c r="O92" i="2"/>
  <c r="N92" i="2"/>
  <c r="M92" i="2"/>
  <c r="L92" i="2"/>
  <c r="K92" i="2"/>
  <c r="P91" i="2"/>
  <c r="O91" i="2"/>
  <c r="N91" i="2"/>
  <c r="M91" i="2"/>
  <c r="L91" i="2"/>
  <c r="K91" i="2"/>
  <c r="P90" i="2"/>
  <c r="O90" i="2"/>
  <c r="N90" i="2"/>
  <c r="M90" i="2"/>
  <c r="L90" i="2"/>
  <c r="K90" i="2"/>
  <c r="P89" i="2"/>
  <c r="O89" i="2"/>
  <c r="N89" i="2"/>
  <c r="M89" i="2"/>
  <c r="L89" i="2"/>
  <c r="K89" i="2"/>
  <c r="P88" i="2"/>
  <c r="O88" i="2"/>
  <c r="N88" i="2"/>
  <c r="M88" i="2"/>
  <c r="L88" i="2"/>
  <c r="K88" i="2"/>
  <c r="P87" i="2"/>
  <c r="O87" i="2"/>
  <c r="N87" i="2"/>
  <c r="M87" i="2"/>
  <c r="L87" i="2"/>
  <c r="K87" i="2"/>
  <c r="P86" i="2"/>
  <c r="O86" i="2"/>
  <c r="N86" i="2"/>
  <c r="M86" i="2"/>
  <c r="L86" i="2"/>
  <c r="K86" i="2"/>
  <c r="P85" i="2"/>
  <c r="O85" i="2"/>
  <c r="N85" i="2"/>
  <c r="M85" i="2"/>
  <c r="L85" i="2"/>
  <c r="K85" i="2"/>
  <c r="P84" i="2"/>
  <c r="O84" i="2"/>
  <c r="N84" i="2"/>
  <c r="M84" i="2"/>
  <c r="L84" i="2"/>
  <c r="K84" i="2"/>
  <c r="P83" i="2"/>
  <c r="O83" i="2"/>
  <c r="N83" i="2"/>
  <c r="M83" i="2"/>
  <c r="L83" i="2"/>
  <c r="K83" i="2"/>
  <c r="P82" i="2"/>
  <c r="O82" i="2"/>
  <c r="N82" i="2"/>
  <c r="M82" i="2"/>
  <c r="L82" i="2"/>
  <c r="K82" i="2"/>
  <c r="P81" i="2"/>
  <c r="O81" i="2"/>
  <c r="N81" i="2"/>
  <c r="M81" i="2"/>
  <c r="L81" i="2"/>
  <c r="K81" i="2"/>
  <c r="P80" i="2"/>
  <c r="O80" i="2"/>
  <c r="N80" i="2"/>
  <c r="M80" i="2"/>
  <c r="L80" i="2"/>
  <c r="K80" i="2"/>
  <c r="P79" i="2"/>
  <c r="O79" i="2"/>
  <c r="N79" i="2"/>
  <c r="M79" i="2"/>
  <c r="L79" i="2"/>
  <c r="K79" i="2"/>
  <c r="P78" i="2"/>
  <c r="O78" i="2"/>
  <c r="N78" i="2"/>
  <c r="M78" i="2"/>
  <c r="L78" i="2"/>
  <c r="K78" i="2"/>
  <c r="P77" i="2"/>
  <c r="O77" i="2"/>
  <c r="N77" i="2"/>
  <c r="M77" i="2"/>
  <c r="L77" i="2"/>
  <c r="K77" i="2"/>
  <c r="P76" i="2"/>
  <c r="O76" i="2"/>
  <c r="N76" i="2"/>
  <c r="M76" i="2"/>
  <c r="L76" i="2"/>
  <c r="K76" i="2"/>
  <c r="P75" i="2"/>
  <c r="O75" i="2"/>
  <c r="N75" i="2"/>
  <c r="M75" i="2"/>
  <c r="L75" i="2"/>
  <c r="K75" i="2"/>
  <c r="P74" i="2"/>
  <c r="O74" i="2"/>
  <c r="N74" i="2"/>
  <c r="M74" i="2"/>
  <c r="L74" i="2"/>
  <c r="K74" i="2"/>
  <c r="P73" i="2"/>
  <c r="O73" i="2"/>
  <c r="N73" i="2"/>
  <c r="M73" i="2"/>
  <c r="L73" i="2"/>
  <c r="K73" i="2"/>
  <c r="P72" i="2"/>
  <c r="O72" i="2"/>
  <c r="N72" i="2"/>
  <c r="M72" i="2"/>
  <c r="L72" i="2"/>
  <c r="K72" i="2"/>
  <c r="P71" i="2"/>
  <c r="O71" i="2"/>
  <c r="N71" i="2"/>
  <c r="M71" i="2"/>
  <c r="L71" i="2"/>
  <c r="K71" i="2"/>
  <c r="P70" i="2"/>
  <c r="O70" i="2"/>
  <c r="N70" i="2"/>
  <c r="M70" i="2"/>
  <c r="L70" i="2"/>
  <c r="K70" i="2"/>
  <c r="P69" i="2"/>
  <c r="O69" i="2"/>
  <c r="N69" i="2"/>
  <c r="M69" i="2"/>
  <c r="L69" i="2"/>
  <c r="K69" i="2"/>
  <c r="P68" i="2"/>
  <c r="O68" i="2"/>
  <c r="N68" i="2"/>
  <c r="M68" i="2"/>
  <c r="L68" i="2"/>
  <c r="K68" i="2"/>
  <c r="P67" i="2"/>
  <c r="O67" i="2"/>
  <c r="N67" i="2"/>
  <c r="M67" i="2"/>
  <c r="L67" i="2"/>
  <c r="K67" i="2"/>
  <c r="P66" i="2"/>
  <c r="O66" i="2"/>
  <c r="N66" i="2"/>
  <c r="M66" i="2"/>
  <c r="L66" i="2"/>
  <c r="K66" i="2"/>
  <c r="P65" i="2"/>
  <c r="O65" i="2"/>
  <c r="N65" i="2"/>
  <c r="M65" i="2"/>
  <c r="L65" i="2"/>
  <c r="K65" i="2"/>
  <c r="P64" i="2"/>
  <c r="O64" i="2"/>
  <c r="N64" i="2"/>
  <c r="M64" i="2"/>
  <c r="L64" i="2"/>
  <c r="K64" i="2"/>
  <c r="P63" i="2"/>
  <c r="O63" i="2"/>
  <c r="N63" i="2"/>
  <c r="M63" i="2"/>
  <c r="L63" i="2"/>
  <c r="K63" i="2"/>
  <c r="P62" i="2"/>
  <c r="O62" i="2"/>
  <c r="N62" i="2"/>
  <c r="M62" i="2"/>
  <c r="L62" i="2"/>
  <c r="K62" i="2"/>
  <c r="P61" i="2"/>
  <c r="O61" i="2"/>
  <c r="N61" i="2"/>
  <c r="M61" i="2"/>
  <c r="L61" i="2"/>
  <c r="K61" i="2"/>
  <c r="P60" i="2"/>
  <c r="O60" i="2"/>
  <c r="N60" i="2"/>
  <c r="M60" i="2"/>
  <c r="L60" i="2"/>
  <c r="K60" i="2"/>
  <c r="P59" i="2"/>
  <c r="O59" i="2"/>
  <c r="N59" i="2"/>
  <c r="M59" i="2"/>
  <c r="L59" i="2"/>
  <c r="K59" i="2"/>
  <c r="P58" i="2"/>
  <c r="O58" i="2"/>
  <c r="N58" i="2"/>
  <c r="M58" i="2"/>
  <c r="L58" i="2"/>
  <c r="K58" i="2"/>
  <c r="P57" i="2"/>
  <c r="O57" i="2"/>
  <c r="N57" i="2"/>
  <c r="M57" i="2"/>
  <c r="L57" i="2"/>
  <c r="K57" i="2"/>
  <c r="P56" i="2"/>
  <c r="O56" i="2"/>
  <c r="N56" i="2"/>
  <c r="M56" i="2"/>
  <c r="L56" i="2"/>
  <c r="K56" i="2"/>
  <c r="P55" i="2"/>
  <c r="O55" i="2"/>
  <c r="N55" i="2"/>
  <c r="M55" i="2"/>
  <c r="L55" i="2"/>
  <c r="K55" i="2"/>
  <c r="P54" i="2"/>
  <c r="O54" i="2"/>
  <c r="N54" i="2"/>
  <c r="M54" i="2"/>
  <c r="L54" i="2"/>
  <c r="K54" i="2"/>
  <c r="P53" i="2"/>
  <c r="O53" i="2"/>
  <c r="N53" i="2"/>
  <c r="M53" i="2"/>
  <c r="L53" i="2"/>
  <c r="K53" i="2"/>
  <c r="P52" i="2"/>
  <c r="O52" i="2"/>
  <c r="N52" i="2"/>
  <c r="M52" i="2"/>
  <c r="L52" i="2"/>
  <c r="K52" i="2"/>
  <c r="P51" i="2"/>
  <c r="O51" i="2"/>
  <c r="N51" i="2"/>
  <c r="M51" i="2"/>
  <c r="L51" i="2"/>
  <c r="K51" i="2"/>
  <c r="P50" i="2"/>
  <c r="O50" i="2"/>
  <c r="N50" i="2"/>
  <c r="M50" i="2"/>
  <c r="L50" i="2"/>
  <c r="K50" i="2"/>
  <c r="P49" i="2"/>
  <c r="O49" i="2"/>
  <c r="N49" i="2"/>
  <c r="M49" i="2"/>
  <c r="L49" i="2"/>
  <c r="K49" i="2"/>
  <c r="P48" i="2"/>
  <c r="O48" i="2"/>
  <c r="N48" i="2"/>
  <c r="M48" i="2"/>
  <c r="L48" i="2"/>
  <c r="K48" i="2"/>
  <c r="P47" i="2"/>
  <c r="O47" i="2"/>
  <c r="N47" i="2"/>
  <c r="M47" i="2"/>
  <c r="L47" i="2"/>
  <c r="K47" i="2"/>
  <c r="P46" i="2"/>
  <c r="O46" i="2"/>
  <c r="N46" i="2"/>
  <c r="M46" i="2"/>
  <c r="L46" i="2"/>
  <c r="K46" i="2"/>
  <c r="P45" i="2"/>
  <c r="O45" i="2"/>
  <c r="N45" i="2"/>
  <c r="M45" i="2"/>
  <c r="L45" i="2"/>
  <c r="K45" i="2"/>
  <c r="P44" i="2"/>
  <c r="O44" i="2"/>
  <c r="N44" i="2"/>
  <c r="M44" i="2"/>
  <c r="L44" i="2"/>
  <c r="K44" i="2"/>
  <c r="P43" i="2"/>
  <c r="O43" i="2"/>
  <c r="N43" i="2"/>
  <c r="M43" i="2"/>
  <c r="L43" i="2"/>
  <c r="K43" i="2"/>
  <c r="P42" i="2"/>
  <c r="O42" i="2"/>
  <c r="N42" i="2"/>
  <c r="M42" i="2"/>
  <c r="L42" i="2"/>
  <c r="K42" i="2"/>
  <c r="P41" i="2"/>
  <c r="O41" i="2"/>
  <c r="N41" i="2"/>
  <c r="M41" i="2"/>
  <c r="L41" i="2"/>
  <c r="K41" i="2"/>
  <c r="P40" i="2"/>
  <c r="O40" i="2"/>
  <c r="N40" i="2"/>
  <c r="M40" i="2"/>
  <c r="L40" i="2"/>
  <c r="K40" i="2"/>
  <c r="P39" i="2"/>
  <c r="O39" i="2"/>
  <c r="N39" i="2"/>
  <c r="M39" i="2"/>
  <c r="L39" i="2"/>
  <c r="K39" i="2"/>
  <c r="P38" i="2"/>
  <c r="O38" i="2"/>
  <c r="N38" i="2"/>
  <c r="M38" i="2"/>
  <c r="L38" i="2"/>
  <c r="K38" i="2"/>
  <c r="P37" i="2"/>
  <c r="O37" i="2"/>
  <c r="N37" i="2"/>
  <c r="M37" i="2"/>
  <c r="L37" i="2"/>
  <c r="K37" i="2"/>
  <c r="P36" i="2"/>
  <c r="O36" i="2"/>
  <c r="N36" i="2"/>
  <c r="M36" i="2"/>
  <c r="L36" i="2"/>
  <c r="K36" i="2"/>
  <c r="P35" i="2"/>
  <c r="O35" i="2"/>
  <c r="N35" i="2"/>
  <c r="M35" i="2"/>
  <c r="L35" i="2"/>
  <c r="K35" i="2"/>
  <c r="P34" i="2"/>
  <c r="O34" i="2"/>
  <c r="N34" i="2"/>
  <c r="M34" i="2"/>
  <c r="L34" i="2"/>
  <c r="K34" i="2"/>
  <c r="P33" i="2"/>
  <c r="O33" i="2"/>
  <c r="N33" i="2"/>
  <c r="M33" i="2"/>
  <c r="L33" i="2"/>
  <c r="K33" i="2"/>
  <c r="P32" i="2"/>
  <c r="O32" i="2"/>
  <c r="N32" i="2"/>
  <c r="M32" i="2"/>
  <c r="L32" i="2"/>
  <c r="K32" i="2"/>
  <c r="P31" i="2"/>
  <c r="O31" i="2"/>
  <c r="N31" i="2"/>
  <c r="M31" i="2"/>
  <c r="L31" i="2"/>
  <c r="K31" i="2"/>
  <c r="P30" i="2"/>
  <c r="O30" i="2"/>
  <c r="N30" i="2"/>
  <c r="M30" i="2"/>
  <c r="L30" i="2"/>
  <c r="K30" i="2"/>
  <c r="P29" i="2"/>
  <c r="O29" i="2"/>
  <c r="N29" i="2"/>
  <c r="M29" i="2"/>
  <c r="L29" i="2"/>
  <c r="K29" i="2"/>
  <c r="P28" i="2"/>
  <c r="O28" i="2"/>
  <c r="N28" i="2"/>
  <c r="M28" i="2"/>
  <c r="L28" i="2"/>
  <c r="K28" i="2"/>
  <c r="P27" i="2"/>
  <c r="O27" i="2"/>
  <c r="N27" i="2"/>
  <c r="M27" i="2"/>
  <c r="L27" i="2"/>
  <c r="K27" i="2"/>
  <c r="P26" i="2"/>
  <c r="O26" i="2"/>
  <c r="N26" i="2"/>
  <c r="M26" i="2"/>
  <c r="L26" i="2"/>
  <c r="K26" i="2"/>
  <c r="P25" i="2"/>
  <c r="O25" i="2"/>
  <c r="N25" i="2"/>
  <c r="M25" i="2"/>
  <c r="L25" i="2"/>
  <c r="K25" i="2"/>
  <c r="P24" i="2"/>
  <c r="O24" i="2"/>
  <c r="N24" i="2"/>
  <c r="M24" i="2"/>
  <c r="L24" i="2"/>
  <c r="K24" i="2"/>
  <c r="P23" i="2"/>
  <c r="O23" i="2"/>
  <c r="N23" i="2"/>
  <c r="M23" i="2"/>
  <c r="L23" i="2"/>
  <c r="K23" i="2"/>
  <c r="P22" i="2"/>
  <c r="O22" i="2"/>
  <c r="N22" i="2"/>
  <c r="M22" i="2"/>
  <c r="L22" i="2"/>
  <c r="K22" i="2"/>
  <c r="P21" i="2"/>
  <c r="O21" i="2"/>
  <c r="N21" i="2"/>
  <c r="M21" i="2"/>
  <c r="L21" i="2"/>
  <c r="K21" i="2"/>
  <c r="P20" i="2"/>
  <c r="O20" i="2"/>
  <c r="N20" i="2"/>
  <c r="M20" i="2"/>
  <c r="L20" i="2"/>
  <c r="K20" i="2"/>
  <c r="P19" i="2"/>
  <c r="O19" i="2"/>
  <c r="N19" i="2"/>
  <c r="M19" i="2"/>
  <c r="L19" i="2"/>
  <c r="K19" i="2"/>
  <c r="P18" i="2"/>
  <c r="O18" i="2"/>
  <c r="N18" i="2"/>
  <c r="M18" i="2"/>
  <c r="L18" i="2"/>
  <c r="K18" i="2"/>
  <c r="P17" i="2"/>
  <c r="O17" i="2"/>
  <c r="N17" i="2"/>
  <c r="M17" i="2"/>
  <c r="L17" i="2"/>
  <c r="K17" i="2"/>
  <c r="P16" i="2"/>
  <c r="O16" i="2"/>
  <c r="N16" i="2"/>
  <c r="M16" i="2"/>
  <c r="L16" i="2"/>
  <c r="K16" i="2"/>
  <c r="P15" i="2"/>
  <c r="O15" i="2"/>
  <c r="N15" i="2"/>
  <c r="M15" i="2"/>
  <c r="L15" i="2"/>
  <c r="K15" i="2"/>
  <c r="P14" i="2"/>
  <c r="O14" i="2"/>
  <c r="N14" i="2"/>
  <c r="M14" i="2"/>
  <c r="L14" i="2"/>
  <c r="K14" i="2"/>
  <c r="P13" i="2"/>
  <c r="O13" i="2"/>
  <c r="N13" i="2"/>
  <c r="M13" i="2"/>
  <c r="L13" i="2"/>
  <c r="K13" i="2"/>
  <c r="P12" i="2"/>
  <c r="C17" i="1" s="1"/>
  <c r="B17" i="1" s="1"/>
  <c r="O12" i="2"/>
  <c r="C16" i="1" s="1"/>
  <c r="B16" i="1" s="1"/>
  <c r="N12" i="2"/>
  <c r="C15" i="1" s="1"/>
  <c r="B15" i="1" s="1"/>
  <c r="M12" i="2"/>
  <c r="C14" i="1" s="1"/>
  <c r="B14" i="1" s="1"/>
  <c r="L12" i="2"/>
  <c r="C13" i="1" s="1"/>
  <c r="B13" i="1" s="1"/>
  <c r="K12" i="2"/>
  <c r="C12" i="1" s="1"/>
  <c r="B12" i="1" s="1"/>
  <c r="P11" i="2"/>
  <c r="O11" i="2"/>
  <c r="N11" i="2"/>
  <c r="M11" i="2"/>
  <c r="L11" i="2"/>
  <c r="K11" i="2"/>
  <c r="P10" i="2"/>
  <c r="O10" i="2"/>
  <c r="N10" i="2"/>
  <c r="M10" i="2"/>
  <c r="L10" i="2"/>
  <c r="K10" i="2"/>
  <c r="P9" i="2"/>
  <c r="O9" i="2"/>
  <c r="N9" i="2"/>
  <c r="M9" i="2"/>
  <c r="L9" i="2"/>
  <c r="K9" i="2"/>
  <c r="P8" i="2"/>
  <c r="O8" i="2"/>
  <c r="N8" i="2"/>
  <c r="M8" i="2"/>
  <c r="L8" i="2"/>
  <c r="K8" i="2"/>
  <c r="P7" i="2"/>
  <c r="O7" i="2"/>
  <c r="N7" i="2"/>
  <c r="M7" i="2"/>
  <c r="L7" i="2"/>
  <c r="K7" i="2"/>
  <c r="P6" i="2"/>
  <c r="O6" i="2"/>
  <c r="N6" i="2"/>
  <c r="M6" i="2"/>
  <c r="L6" i="2"/>
  <c r="K6" i="2"/>
  <c r="P5" i="2"/>
  <c r="O5" i="2"/>
  <c r="N5" i="2"/>
  <c r="M5" i="2"/>
  <c r="L5" i="2"/>
  <c r="K5" i="2"/>
  <c r="P4" i="2"/>
  <c r="O4" i="2"/>
  <c r="N4" i="2"/>
  <c r="M4" i="2"/>
  <c r="L4" i="2"/>
  <c r="K4" i="2"/>
  <c r="P3" i="2"/>
  <c r="O3" i="2"/>
  <c r="N3" i="2"/>
  <c r="M3" i="2"/>
  <c r="L3" i="2"/>
  <c r="K3" i="2"/>
  <c r="G17" i="1"/>
  <c r="F17" i="1" s="1"/>
  <c r="G16" i="1"/>
  <c r="F16" i="1" s="1"/>
  <c r="G15" i="1"/>
  <c r="F15" i="1" s="1"/>
  <c r="G14" i="1"/>
  <c r="F14" i="1" s="1"/>
  <c r="G13" i="1"/>
  <c r="F13" i="1" s="1"/>
  <c r="G12" i="1"/>
  <c r="F12" i="1" s="1"/>
  <c r="F9" i="1"/>
  <c r="B9" i="1"/>
  <c r="F8" i="1"/>
  <c r="B8" i="1"/>
  <c r="F7" i="1"/>
  <c r="B7" i="1"/>
  <c r="F6" i="1"/>
  <c r="B6" i="1"/>
  <c r="F5" i="1"/>
  <c r="B5" i="1"/>
</calcChain>
</file>

<file path=xl/sharedStrings.xml><?xml version="1.0" encoding="utf-8"?>
<sst xmlns="http://schemas.openxmlformats.org/spreadsheetml/2006/main" count="2739" uniqueCount="790">
  <si>
    <t>Ficha de jugador · comparador</t>
  </si>
  <si>
    <t>Elige un jugador en cada celda amarilla (desplegable) para compararlos.</t>
  </si>
  <si>
    <t>Jugador</t>
  </si>
  <si>
    <t>Axel Blaze</t>
  </si>
  <si>
    <t>Byron Love</t>
  </si>
  <si>
    <t>Posición</t>
  </si>
  <si>
    <t>Size</t>
  </si>
  <si>
    <t>Elemento</t>
  </si>
  <si>
    <t>Equipo</t>
  </si>
  <si>
    <t>Rareza</t>
  </si>
  <si>
    <t>Vida</t>
  </si>
  <si>
    <t>Ataque</t>
  </si>
  <si>
    <t>Ataque especial</t>
  </si>
  <si>
    <t>Defensa</t>
  </si>
  <si>
    <t>Velocidad</t>
  </si>
  <si>
    <t>Regate</t>
  </si>
  <si>
    <t>Player info</t>
  </si>
  <si>
    <t>Cara, equipo y rareza</t>
  </si>
  <si>
    <t>Estadísticas iniciales</t>
  </si>
  <si>
    <t>Full Name</t>
  </si>
  <si>
    <t>Nickname</t>
  </si>
  <si>
    <t>Position</t>
  </si>
  <si>
    <t>Gender</t>
  </si>
  <si>
    <t>Element</t>
  </si>
  <si>
    <t>Player HEX ID</t>
  </si>
  <si>
    <t>Cara</t>
  </si>
  <si>
    <t>Mark Evans</t>
  </si>
  <si>
    <t>Mark</t>
  </si>
  <si>
    <t>GK</t>
  </si>
  <si>
    <t>Male</t>
  </si>
  <si>
    <t>Medium</t>
  </si>
  <si>
    <t>Celestial</t>
  </si>
  <si>
    <t>0x01</t>
  </si>
  <si>
    <t>Raimon</t>
  </si>
  <si>
    <t>Legendario</t>
  </si>
  <si>
    <t>Nathan Swift</t>
  </si>
  <si>
    <t>Nathan</t>
  </si>
  <si>
    <t>DF</t>
  </si>
  <si>
    <t>Air</t>
  </si>
  <si>
    <t>0x02</t>
  </si>
  <si>
    <t>Jack Wallside</t>
  </si>
  <si>
    <t>Jack</t>
  </si>
  <si>
    <t>Large</t>
  </si>
  <si>
    <t>Earth</t>
  </si>
  <si>
    <t>0x03</t>
  </si>
  <si>
    <t>Épico</t>
  </si>
  <si>
    <t>Jim Wraith</t>
  </si>
  <si>
    <t>Jim</t>
  </si>
  <si>
    <t>Wood</t>
  </si>
  <si>
    <t>0x04</t>
  </si>
  <si>
    <t>Poco Común</t>
  </si>
  <si>
    <t>Tod Ironside</t>
  </si>
  <si>
    <t>Tod</t>
  </si>
  <si>
    <t>Small</t>
  </si>
  <si>
    <t>Fire</t>
  </si>
  <si>
    <t>0x05</t>
  </si>
  <si>
    <t>Steve Grim</t>
  </si>
  <si>
    <t>Steve</t>
  </si>
  <si>
    <t>MF</t>
  </si>
  <si>
    <t>0x06</t>
  </si>
  <si>
    <t>Tim Saunders</t>
  </si>
  <si>
    <t>Timmy</t>
  </si>
  <si>
    <t>0x07</t>
  </si>
  <si>
    <t>Sam Kincaid</t>
  </si>
  <si>
    <t>Sam</t>
  </si>
  <si>
    <t>0x08</t>
  </si>
  <si>
    <t>Maxwell Carson</t>
  </si>
  <si>
    <t>Max</t>
  </si>
  <si>
    <t>FW</t>
  </si>
  <si>
    <t>0x09</t>
  </si>
  <si>
    <t>Raro</t>
  </si>
  <si>
    <t>Axel</t>
  </si>
  <si>
    <t>0x0A</t>
  </si>
  <si>
    <t>Kevin Dragonfly</t>
  </si>
  <si>
    <t>Kevin</t>
  </si>
  <si>
    <t>Dragon</t>
  </si>
  <si>
    <t>0x0B</t>
  </si>
  <si>
    <t>William Glass</t>
  </si>
  <si>
    <t>Willy</t>
  </si>
  <si>
    <t>0x0C</t>
  </si>
  <si>
    <t>Pip Daltry</t>
  </si>
  <si>
    <t>Daltry</t>
  </si>
  <si>
    <t>Female</t>
  </si>
  <si>
    <t>0x100</t>
  </si>
  <si>
    <t>Street Sally's</t>
  </si>
  <si>
    <t>Común</t>
  </si>
  <si>
    <t>Seymour Hillman</t>
  </si>
  <si>
    <t>Hillman</t>
  </si>
  <si>
    <t>0x105</t>
  </si>
  <si>
    <t>Raimon Veterans</t>
  </si>
  <si>
    <t>Charles Island</t>
  </si>
  <si>
    <t>Island</t>
  </si>
  <si>
    <t>0x106</t>
  </si>
  <si>
    <t>Garret Hairtown</t>
  </si>
  <si>
    <t>Hairtown</t>
  </si>
  <si>
    <t>0x107</t>
  </si>
  <si>
    <t>Arthur Sweet</t>
  </si>
  <si>
    <t>Sweet</t>
  </si>
  <si>
    <t>0x108</t>
  </si>
  <si>
    <t>Peter Mildred</t>
  </si>
  <si>
    <t>Butler</t>
  </si>
  <si>
    <t>0x109</t>
  </si>
  <si>
    <t>Josh Nathaniel</t>
  </si>
  <si>
    <t>Nathaniel</t>
  </si>
  <si>
    <t>0x10A</t>
  </si>
  <si>
    <t>Edward Gladstone</t>
  </si>
  <si>
    <t>Gladstone</t>
  </si>
  <si>
    <t>0x10B</t>
  </si>
  <si>
    <t>Tyler Thomas</t>
  </si>
  <si>
    <t>Tailor</t>
  </si>
  <si>
    <t>0x10C</t>
  </si>
  <si>
    <t>Joseph Yosemite</t>
  </si>
  <si>
    <t>Barista</t>
  </si>
  <si>
    <t>0x10D</t>
  </si>
  <si>
    <t>Ian Suffolk</t>
  </si>
  <si>
    <t>Suffolk</t>
  </si>
  <si>
    <t>0x10E</t>
  </si>
  <si>
    <t>Constant Builder</t>
  </si>
  <si>
    <t>Builder</t>
  </si>
  <si>
    <t>0x10F</t>
  </si>
  <si>
    <t>Ted Poe</t>
  </si>
  <si>
    <t>Poe</t>
  </si>
  <si>
    <t>0x110</t>
  </si>
  <si>
    <t>Marshall Heart</t>
  </si>
  <si>
    <t>Heart</t>
  </si>
  <si>
    <t>0x111</t>
  </si>
  <si>
    <t>Dom Foreman</t>
  </si>
  <si>
    <t>Foreman</t>
  </si>
  <si>
    <t>0x112</t>
  </si>
  <si>
    <t>Slot MacHines</t>
  </si>
  <si>
    <t>MacHines</t>
  </si>
  <si>
    <t>0x113</t>
  </si>
  <si>
    <t>Bill Steakspear</t>
  </si>
  <si>
    <t>Steaky</t>
  </si>
  <si>
    <t>0x114</t>
  </si>
  <si>
    <t>Joseph King</t>
  </si>
  <si>
    <t>King</t>
  </si>
  <si>
    <t>0x15</t>
  </si>
  <si>
    <t>Royal Academy</t>
  </si>
  <si>
    <t>Peter Drent</t>
  </si>
  <si>
    <t>Drent</t>
  </si>
  <si>
    <t>0x16</t>
  </si>
  <si>
    <t>Ben Simmons</t>
  </si>
  <si>
    <t>Simmons</t>
  </si>
  <si>
    <t>0x17</t>
  </si>
  <si>
    <t>Alan Master</t>
  </si>
  <si>
    <t>Master</t>
  </si>
  <si>
    <t>0x18</t>
  </si>
  <si>
    <t>Gus Martin</t>
  </si>
  <si>
    <t>Martin</t>
  </si>
  <si>
    <t>0x19</t>
  </si>
  <si>
    <t>Herman Waldon</t>
  </si>
  <si>
    <t>Waldon</t>
  </si>
  <si>
    <t>0x1A</t>
  </si>
  <si>
    <t>John Bloom</t>
  </si>
  <si>
    <t>Bloom</t>
  </si>
  <si>
    <t>0x1B</t>
  </si>
  <si>
    <t>Derek Swing</t>
  </si>
  <si>
    <t>Swing</t>
  </si>
  <si>
    <t>0x1C</t>
  </si>
  <si>
    <t>Daniel Hatch</t>
  </si>
  <si>
    <t>Hatch</t>
  </si>
  <si>
    <t>0x1D</t>
  </si>
  <si>
    <t>David Samford</t>
  </si>
  <si>
    <t>Samford</t>
  </si>
  <si>
    <t>0x1F</t>
  </si>
  <si>
    <t>Bob Carlton</t>
  </si>
  <si>
    <t>Carlton</t>
  </si>
  <si>
    <t>0x20</t>
  </si>
  <si>
    <t>Cliff Tomlinson</t>
  </si>
  <si>
    <t>Tomlinson</t>
  </si>
  <si>
    <t>0x21</t>
  </si>
  <si>
    <t>Jim Lawrenson</t>
  </si>
  <si>
    <t>Lawrenson</t>
  </si>
  <si>
    <t>0x22</t>
  </si>
  <si>
    <t>Barry Potts</t>
  </si>
  <si>
    <t>Potts</t>
  </si>
  <si>
    <t>0x23</t>
  </si>
  <si>
    <t>Steve Ingham</t>
  </si>
  <si>
    <t>Ingham</t>
  </si>
  <si>
    <t>0x24</t>
  </si>
  <si>
    <t>Ton Nino</t>
  </si>
  <si>
    <t>Nino</t>
  </si>
  <si>
    <t>0x28E</t>
  </si>
  <si>
    <t>Personajes secundarios</t>
  </si>
  <si>
    <t>Nathan Jones</t>
  </si>
  <si>
    <t>Mask</t>
  </si>
  <si>
    <t>0x29</t>
  </si>
  <si>
    <t>Occult</t>
  </si>
  <si>
    <t>Russell Walk</t>
  </si>
  <si>
    <t>Styx</t>
  </si>
  <si>
    <t>0x2A</t>
  </si>
  <si>
    <t>Jason Jones</t>
  </si>
  <si>
    <t>Creepy</t>
  </si>
  <si>
    <t>0x2B</t>
  </si>
  <si>
    <t>Ken Furan</t>
  </si>
  <si>
    <t>Franky</t>
  </si>
  <si>
    <t>0x2C</t>
  </si>
  <si>
    <t>Jerry Fulton</t>
  </si>
  <si>
    <t>Undead</t>
  </si>
  <si>
    <t>0x2D</t>
  </si>
  <si>
    <t>Ray Mannings</t>
  </si>
  <si>
    <t>Jiangshi</t>
  </si>
  <si>
    <t>0x2E</t>
  </si>
  <si>
    <t>Robert Mayer</t>
  </si>
  <si>
    <t>Mummy</t>
  </si>
  <si>
    <t>0x2F</t>
  </si>
  <si>
    <t>Alexander Brave</t>
  </si>
  <si>
    <t>Grave</t>
  </si>
  <si>
    <t>0x30</t>
  </si>
  <si>
    <t>Johan Tassman</t>
  </si>
  <si>
    <t>Talisman</t>
  </si>
  <si>
    <t>0x31</t>
  </si>
  <si>
    <t>Troy Moon</t>
  </si>
  <si>
    <t>Wolfy</t>
  </si>
  <si>
    <t>0x32</t>
  </si>
  <si>
    <t>Burt Wolf</t>
  </si>
  <si>
    <t>Blood</t>
  </si>
  <si>
    <t>0x33</t>
  </si>
  <si>
    <t>Rob Crombie</t>
  </si>
  <si>
    <t>Zombie</t>
  </si>
  <si>
    <t>0x34</t>
  </si>
  <si>
    <t>Chuck Dollman</t>
  </si>
  <si>
    <t>Dollman</t>
  </si>
  <si>
    <t>0x35</t>
  </si>
  <si>
    <t>Uxley Allen</t>
  </si>
  <si>
    <t>Alien</t>
  </si>
  <si>
    <t>0x36</t>
  </si>
  <si>
    <t>Phil Noir</t>
  </si>
  <si>
    <t>Noir</t>
  </si>
  <si>
    <t>0x37</t>
  </si>
  <si>
    <t>Mick Askley</t>
  </si>
  <si>
    <t>Ghost</t>
  </si>
  <si>
    <t>0x38</t>
  </si>
  <si>
    <t>Charlie Boardfield</t>
  </si>
  <si>
    <t>Boar</t>
  </si>
  <si>
    <t>0x3D</t>
  </si>
  <si>
    <t>Wild</t>
  </si>
  <si>
    <t>Hugo Tallgeese</t>
  </si>
  <si>
    <t>Chicken</t>
  </si>
  <si>
    <t>0x3E</t>
  </si>
  <si>
    <t>Wilson Fishman</t>
  </si>
  <si>
    <t>Fishman</t>
  </si>
  <si>
    <t>0x3F</t>
  </si>
  <si>
    <t>Peter Johnson</t>
  </si>
  <si>
    <t>Toad</t>
  </si>
  <si>
    <t>0x40</t>
  </si>
  <si>
    <t>Leonard O'Shea</t>
  </si>
  <si>
    <t>Lion</t>
  </si>
  <si>
    <t>0x41</t>
  </si>
  <si>
    <t>Cham Lion</t>
  </si>
  <si>
    <t>Chameleon</t>
  </si>
  <si>
    <t>0x42</t>
  </si>
  <si>
    <t>Steve Eagle</t>
  </si>
  <si>
    <t>Eagle</t>
  </si>
  <si>
    <t>0x43</t>
  </si>
  <si>
    <t>Bruce Monkey</t>
  </si>
  <si>
    <t>Monkey</t>
  </si>
  <si>
    <t>0x44</t>
  </si>
  <si>
    <t>Erik Eagle</t>
  </si>
  <si>
    <t>Erik</t>
  </si>
  <si>
    <t>0x443</t>
  </si>
  <si>
    <t>Bobby Shearer</t>
  </si>
  <si>
    <t>Bobby</t>
  </si>
  <si>
    <t>0x444</t>
  </si>
  <si>
    <t>Paul Peabody</t>
  </si>
  <si>
    <t>Peabody</t>
  </si>
  <si>
    <t>0x445</t>
  </si>
  <si>
    <t>Chester Horse Jr</t>
  </si>
  <si>
    <t>Horse Jr</t>
  </si>
  <si>
    <t>0x446</t>
  </si>
  <si>
    <t>Jude Sharp</t>
  </si>
  <si>
    <t>Jude</t>
  </si>
  <si>
    <t>0x449</t>
  </si>
  <si>
    <t>Shadow Cimmerian</t>
  </si>
  <si>
    <t>Shadow</t>
  </si>
  <si>
    <t>0x44A</t>
  </si>
  <si>
    <t>Gary Lancaster</t>
  </si>
  <si>
    <t>Gorilla</t>
  </si>
  <si>
    <t>0x45</t>
  </si>
  <si>
    <t>Harry Snake</t>
  </si>
  <si>
    <t>Snake</t>
  </si>
  <si>
    <t>0x46</t>
  </si>
  <si>
    <t>Adrian Speed</t>
  </si>
  <si>
    <t>Cheetah</t>
  </si>
  <si>
    <t>0x47</t>
  </si>
  <si>
    <t>Alan Coe</t>
  </si>
  <si>
    <t>Koala</t>
  </si>
  <si>
    <t>0x48</t>
  </si>
  <si>
    <t>Philip Anders</t>
  </si>
  <si>
    <t>Panda</t>
  </si>
  <si>
    <t>0x49</t>
  </si>
  <si>
    <t>Rocky Rackham</t>
  </si>
  <si>
    <t>Raccoon</t>
  </si>
  <si>
    <t>0x4A</t>
  </si>
  <si>
    <t>Matt Mouseman</t>
  </si>
  <si>
    <t>Mouseman</t>
  </si>
  <si>
    <t>0x4B</t>
  </si>
  <si>
    <t>Chad Bullford</t>
  </si>
  <si>
    <t>Bullford</t>
  </si>
  <si>
    <t>0x4C</t>
  </si>
  <si>
    <t>Thomas Feldt</t>
  </si>
  <si>
    <t>Feldt</t>
  </si>
  <si>
    <t>0x51</t>
  </si>
  <si>
    <t>Brain</t>
  </si>
  <si>
    <t>Harry Leading</t>
  </si>
  <si>
    <t>Leading</t>
  </si>
  <si>
    <t>0x52</t>
  </si>
  <si>
    <t>Terry Stronger</t>
  </si>
  <si>
    <t>Stronger</t>
  </si>
  <si>
    <t>0x53</t>
  </si>
  <si>
    <t>Philip Marvel</t>
  </si>
  <si>
    <t>Marvel</t>
  </si>
  <si>
    <t>0x54</t>
  </si>
  <si>
    <t>Noel Good</t>
  </si>
  <si>
    <t>Good</t>
  </si>
  <si>
    <t>0x55</t>
  </si>
  <si>
    <t>Tyron Rock</t>
  </si>
  <si>
    <t>Rock</t>
  </si>
  <si>
    <t>0x56</t>
  </si>
  <si>
    <t>Francis Tell</t>
  </si>
  <si>
    <t>Tell</t>
  </si>
  <si>
    <t>0x57</t>
  </si>
  <si>
    <t>Samuel Buster</t>
  </si>
  <si>
    <t>Buster</t>
  </si>
  <si>
    <t>0x58</t>
  </si>
  <si>
    <t>Jonathan Seller</t>
  </si>
  <si>
    <t>Seller</t>
  </si>
  <si>
    <t>0x59</t>
  </si>
  <si>
    <t>Victor Kind</t>
  </si>
  <si>
    <t>Kind</t>
  </si>
  <si>
    <t>0x5A</t>
  </si>
  <si>
    <t>Neil Turner</t>
  </si>
  <si>
    <t>Turner</t>
  </si>
  <si>
    <t>0x5B</t>
  </si>
  <si>
    <t>Reg Underwood</t>
  </si>
  <si>
    <t>Under</t>
  </si>
  <si>
    <t>0x5C</t>
  </si>
  <si>
    <t>Patrick Stiller</t>
  </si>
  <si>
    <t>Stiller</t>
  </si>
  <si>
    <t>0x5D</t>
  </si>
  <si>
    <t>Charles Oughtry</t>
  </si>
  <si>
    <t>Oughtry</t>
  </si>
  <si>
    <t>0x5E</t>
  </si>
  <si>
    <t>Clive Mooney</t>
  </si>
  <si>
    <t>Mooney</t>
  </si>
  <si>
    <t>0x5F</t>
  </si>
  <si>
    <t>Neil Waters</t>
  </si>
  <si>
    <t>Waters</t>
  </si>
  <si>
    <t>0x60</t>
  </si>
  <si>
    <t>Sam Idol</t>
  </si>
  <si>
    <t>Idol</t>
  </si>
  <si>
    <t>0x65</t>
  </si>
  <si>
    <t>Otaku</t>
  </si>
  <si>
    <t>Marcus Train</t>
  </si>
  <si>
    <t>Train</t>
  </si>
  <si>
    <t>0x66</t>
  </si>
  <si>
    <t>Light Nobel</t>
  </si>
  <si>
    <t>Novel</t>
  </si>
  <si>
    <t>0x67</t>
  </si>
  <si>
    <t>Walter Valiant</t>
  </si>
  <si>
    <t>Hero</t>
  </si>
  <si>
    <t>0x68</t>
  </si>
  <si>
    <t>Spencer Gates</t>
  </si>
  <si>
    <t>Cosplay</t>
  </si>
  <si>
    <t>0x69</t>
  </si>
  <si>
    <t>Josh Spear</t>
  </si>
  <si>
    <t>Online</t>
  </si>
  <si>
    <t>0x6A</t>
  </si>
  <si>
    <t>Gaby Farmer</t>
  </si>
  <si>
    <t>Custom</t>
  </si>
  <si>
    <t>0x6B</t>
  </si>
  <si>
    <t>A. Woodbridge</t>
  </si>
  <si>
    <t>Robot</t>
  </si>
  <si>
    <t>0x6C</t>
  </si>
  <si>
    <t>Gus Gamer</t>
  </si>
  <si>
    <t>Gamer</t>
  </si>
  <si>
    <t>0x6D</t>
  </si>
  <si>
    <t>Mark Gambling</t>
  </si>
  <si>
    <t>Artist</t>
  </si>
  <si>
    <t>0x6E</t>
  </si>
  <si>
    <t>Theodore Master</t>
  </si>
  <si>
    <t>Arcade</t>
  </si>
  <si>
    <t>0x6F</t>
  </si>
  <si>
    <t>Ham Signalman</t>
  </si>
  <si>
    <t>Signalman</t>
  </si>
  <si>
    <t>0x70</t>
  </si>
  <si>
    <t>Bill Formby</t>
  </si>
  <si>
    <t>Formby</t>
  </si>
  <si>
    <t>0x71</t>
  </si>
  <si>
    <t>Grant Eldorado</t>
  </si>
  <si>
    <t>Eldorado</t>
  </si>
  <si>
    <t>0x72</t>
  </si>
  <si>
    <t>Mike Vox</t>
  </si>
  <si>
    <t>Vox</t>
  </si>
  <si>
    <t>0x73</t>
  </si>
  <si>
    <t>Ollie Webb</t>
  </si>
  <si>
    <t>Net</t>
  </si>
  <si>
    <t>0x74</t>
  </si>
  <si>
    <t>Morgan Sanders</t>
  </si>
  <si>
    <t>Hood</t>
  </si>
  <si>
    <t>0x79</t>
  </si>
  <si>
    <t>Shuriken</t>
  </si>
  <si>
    <t>Newton Flust</t>
  </si>
  <si>
    <t>Crackshot</t>
  </si>
  <si>
    <t>0x7A</t>
  </si>
  <si>
    <t>Jim Hillfort</t>
  </si>
  <si>
    <t>Hillfort</t>
  </si>
  <si>
    <t>0x7B</t>
  </si>
  <si>
    <t>Galen Thunderbird</t>
  </si>
  <si>
    <t>Thunder</t>
  </si>
  <si>
    <t>0x7C</t>
  </si>
  <si>
    <t>Finn Stoned</t>
  </si>
  <si>
    <t>Bandit</t>
  </si>
  <si>
    <t>0x7D</t>
  </si>
  <si>
    <t>Phil Wingate</t>
  </si>
  <si>
    <t>Code</t>
  </si>
  <si>
    <t>0x7E</t>
  </si>
  <si>
    <t>Jez Shell</t>
  </si>
  <si>
    <t>Star</t>
  </si>
  <si>
    <t>0x7F</t>
  </si>
  <si>
    <t>Jupiter Jumper</t>
  </si>
  <si>
    <t>Cleats</t>
  </si>
  <si>
    <t>0x80</t>
  </si>
  <si>
    <t>Sam Samurai</t>
  </si>
  <si>
    <t>Samurai</t>
  </si>
  <si>
    <t>0x81</t>
  </si>
  <si>
    <t>Hank Sullivan</t>
  </si>
  <si>
    <t>Hattori</t>
  </si>
  <si>
    <t>0x82</t>
  </si>
  <si>
    <t>Sail Bluesea</t>
  </si>
  <si>
    <t>Cloak</t>
  </si>
  <si>
    <t>0x83</t>
  </si>
  <si>
    <t>John Reynolds</t>
  </si>
  <si>
    <t>Ronin</t>
  </si>
  <si>
    <t>0x84</t>
  </si>
  <si>
    <t>Dan Hopper</t>
  </si>
  <si>
    <t>Hopper</t>
  </si>
  <si>
    <t>0x85</t>
  </si>
  <si>
    <t>Cal Trops</t>
  </si>
  <si>
    <t>Trops</t>
  </si>
  <si>
    <t>0x86</t>
  </si>
  <si>
    <t>Winston Falls</t>
  </si>
  <si>
    <t>Spook</t>
  </si>
  <si>
    <t>0x87</t>
  </si>
  <si>
    <t>Kevin Castle</t>
  </si>
  <si>
    <t>Castle</t>
  </si>
  <si>
    <t>0x88</t>
  </si>
  <si>
    <t>Albert Green</t>
  </si>
  <si>
    <t>Greeny</t>
  </si>
  <si>
    <t>0x8D</t>
  </si>
  <si>
    <t>Farm</t>
  </si>
  <si>
    <t>Seward Hayseed</t>
  </si>
  <si>
    <t>Hayseed</t>
  </si>
  <si>
    <t>0x8E</t>
  </si>
  <si>
    <t>Kent Work</t>
  </si>
  <si>
    <t>Work</t>
  </si>
  <si>
    <t>0x8F</t>
  </si>
  <si>
    <t>Mark Hillvalley</t>
  </si>
  <si>
    <t>Hillvalley</t>
  </si>
  <si>
    <t>0x90</t>
  </si>
  <si>
    <t>Herb Sherman</t>
  </si>
  <si>
    <t>Sherman</t>
  </si>
  <si>
    <t>0x91</t>
  </si>
  <si>
    <t>Joe Small</t>
  </si>
  <si>
    <t>Milky</t>
  </si>
  <si>
    <t>0x92</t>
  </si>
  <si>
    <t>Ike Steiner</t>
  </si>
  <si>
    <t>Mother</t>
  </si>
  <si>
    <t>0x93</t>
  </si>
  <si>
    <t>Orville Newman</t>
  </si>
  <si>
    <t>Spray</t>
  </si>
  <si>
    <t>0x94</t>
  </si>
  <si>
    <t>Tom Walters</t>
  </si>
  <si>
    <t>Roast</t>
  </si>
  <si>
    <t>0x95</t>
  </si>
  <si>
    <t>Daniel Dawson</t>
  </si>
  <si>
    <t>Dawson</t>
  </si>
  <si>
    <t>0x96</t>
  </si>
  <si>
    <t>Stuart Racoonfur</t>
  </si>
  <si>
    <t>Muffs</t>
  </si>
  <si>
    <t>0x97</t>
  </si>
  <si>
    <t>Lorne Mower</t>
  </si>
  <si>
    <t>Mower</t>
  </si>
  <si>
    <t>0x98</t>
  </si>
  <si>
    <t>Homer Grower</t>
  </si>
  <si>
    <t>Grower</t>
  </si>
  <si>
    <t>0x99</t>
  </si>
  <si>
    <t>Rolf Howells</t>
  </si>
  <si>
    <t>Howells</t>
  </si>
  <si>
    <t>0x9A</t>
  </si>
  <si>
    <t>Luke Lively</t>
  </si>
  <si>
    <t>Lively</t>
  </si>
  <si>
    <t>0x9B</t>
  </si>
  <si>
    <t>Ben Nevis</t>
  </si>
  <si>
    <t>Nevis</t>
  </si>
  <si>
    <t>0x9C</t>
  </si>
  <si>
    <t>John Neville</t>
  </si>
  <si>
    <t>Neville</t>
  </si>
  <si>
    <t>0xA1</t>
  </si>
  <si>
    <t>Kirkwood</t>
  </si>
  <si>
    <t>Malcolm Night</t>
  </si>
  <si>
    <t>Night</t>
  </si>
  <si>
    <t>0xA2</t>
  </si>
  <si>
    <t>Alfred Meenan</t>
  </si>
  <si>
    <t>Meenan</t>
  </si>
  <si>
    <t>0xA3</t>
  </si>
  <si>
    <t>Dan Mirthful</t>
  </si>
  <si>
    <t>Mirthful</t>
  </si>
  <si>
    <t>0xA4</t>
  </si>
  <si>
    <t>Ricky Clover</t>
  </si>
  <si>
    <t>Clover</t>
  </si>
  <si>
    <t>0xA5</t>
  </si>
  <si>
    <t>Toby Damian</t>
  </si>
  <si>
    <t>Damian</t>
  </si>
  <si>
    <t>0xA6</t>
  </si>
  <si>
    <t>York Nashmith</t>
  </si>
  <si>
    <t>Nashmith</t>
  </si>
  <si>
    <t>0xA7</t>
  </si>
  <si>
    <t>Zachary Moore</t>
  </si>
  <si>
    <t>Moore</t>
  </si>
  <si>
    <t>0xA8</t>
  </si>
  <si>
    <t>Marvin Murdock</t>
  </si>
  <si>
    <t>Marvin</t>
  </si>
  <si>
    <t>0xA9</t>
  </si>
  <si>
    <t>Thomas Murdock</t>
  </si>
  <si>
    <t>Thomas</t>
  </si>
  <si>
    <t>0xAA</t>
  </si>
  <si>
    <t>Tyler Murdock</t>
  </si>
  <si>
    <t>Tyler</t>
  </si>
  <si>
    <t>0xAB</t>
  </si>
  <si>
    <t>Simon Calier</t>
  </si>
  <si>
    <t>Calier</t>
  </si>
  <si>
    <t>0xAC</t>
  </si>
  <si>
    <t>Brody Gloom</t>
  </si>
  <si>
    <t>Gloom</t>
  </si>
  <si>
    <t>0xAD</t>
  </si>
  <si>
    <t>Victor Talis</t>
  </si>
  <si>
    <t>Talis</t>
  </si>
  <si>
    <t>0xAE</t>
  </si>
  <si>
    <t>Eren Middleton</t>
  </si>
  <si>
    <t>Middleton</t>
  </si>
  <si>
    <t>0xAF</t>
  </si>
  <si>
    <t>Peter Wells</t>
  </si>
  <si>
    <t>Wells</t>
  </si>
  <si>
    <t>0xB0</t>
  </si>
  <si>
    <t>Paul Siddon</t>
  </si>
  <si>
    <t>Poseidon</t>
  </si>
  <si>
    <t>0xB5</t>
  </si>
  <si>
    <t>Zeus</t>
  </si>
  <si>
    <t>Apollo Light</t>
  </si>
  <si>
    <t>Apollo</t>
  </si>
  <si>
    <t>0xB6</t>
  </si>
  <si>
    <t>Jeff Iron</t>
  </si>
  <si>
    <t>Hephestus</t>
  </si>
  <si>
    <t>0xB7</t>
  </si>
  <si>
    <t>Lane War</t>
  </si>
  <si>
    <t>Ares</t>
  </si>
  <si>
    <t>0xB8</t>
  </si>
  <si>
    <t>Danny Wood</t>
  </si>
  <si>
    <t>Dionysus</t>
  </si>
  <si>
    <t>0xB9</t>
  </si>
  <si>
    <t>Artie Mishman</t>
  </si>
  <si>
    <t>Artemis</t>
  </si>
  <si>
    <t>0xBA</t>
  </si>
  <si>
    <t>Arion Matlock</t>
  </si>
  <si>
    <t>Hermes</t>
  </si>
  <si>
    <t>0xBB</t>
  </si>
  <si>
    <t>Wesley Knox</t>
  </si>
  <si>
    <t>Athena</t>
  </si>
  <si>
    <t>0xBC</t>
  </si>
  <si>
    <t>Jonas Demetrius</t>
  </si>
  <si>
    <t>Demeter</t>
  </si>
  <si>
    <t>0xBD</t>
  </si>
  <si>
    <t>Aphrodite</t>
  </si>
  <si>
    <t>0xBE</t>
  </si>
  <si>
    <t>Henry House</t>
  </si>
  <si>
    <t>Hera</t>
  </si>
  <si>
    <t>0xBF</t>
  </si>
  <si>
    <t>Iggy Russ</t>
  </si>
  <si>
    <t>Icarus</t>
  </si>
  <si>
    <t>0xC0</t>
  </si>
  <si>
    <t>Gus Heeley</t>
  </si>
  <si>
    <t>Achilles</t>
  </si>
  <si>
    <t>0xC1</t>
  </si>
  <si>
    <t>Harry Closs</t>
  </si>
  <si>
    <t>Heracles</t>
  </si>
  <si>
    <t>0xC2</t>
  </si>
  <si>
    <t>Andy Chronic</t>
  </si>
  <si>
    <t>Chronos</t>
  </si>
  <si>
    <t>0xC3</t>
  </si>
  <si>
    <t>Ned Yousef</t>
  </si>
  <si>
    <t>Medusa</t>
  </si>
  <si>
    <t>0xC4</t>
  </si>
  <si>
    <t>Herman Muller</t>
  </si>
  <si>
    <t>Muller</t>
  </si>
  <si>
    <t>0xC9</t>
  </si>
  <si>
    <t>Inazuma Kids FC</t>
  </si>
  <si>
    <t>Keth Claus</t>
  </si>
  <si>
    <t>Claus</t>
  </si>
  <si>
    <t>0xCA</t>
  </si>
  <si>
    <t>Robert Silver</t>
  </si>
  <si>
    <t>Silver</t>
  </si>
  <si>
    <t>0xCB</t>
  </si>
  <si>
    <t>Izzy Island</t>
  </si>
  <si>
    <t>Izzy</t>
  </si>
  <si>
    <t>0xCC</t>
  </si>
  <si>
    <t>Sothern Newman</t>
  </si>
  <si>
    <t>Newman</t>
  </si>
  <si>
    <t>0xCD</t>
  </si>
  <si>
    <t>Irwin Hall</t>
  </si>
  <si>
    <t>Hall</t>
  </si>
  <si>
    <t>0xCE</t>
  </si>
  <si>
    <t>Taylor Higgins</t>
  </si>
  <si>
    <t>Higgins</t>
  </si>
  <si>
    <t>0xCF</t>
  </si>
  <si>
    <t>Jamie Cool</t>
  </si>
  <si>
    <t>Cool</t>
  </si>
  <si>
    <t>0xD0</t>
  </si>
  <si>
    <t>Hans Randall</t>
  </si>
  <si>
    <t>Randall</t>
  </si>
  <si>
    <t>0xD1</t>
  </si>
  <si>
    <t>Michael Riverside</t>
  </si>
  <si>
    <t>Riverside</t>
  </si>
  <si>
    <t>0xD2</t>
  </si>
  <si>
    <t>Millie Moonlight</t>
  </si>
  <si>
    <t>Millie</t>
  </si>
  <si>
    <t>0xD3</t>
  </si>
  <si>
    <t>Karl Blue</t>
  </si>
  <si>
    <t>Karl</t>
  </si>
  <si>
    <t>0xD4</t>
  </si>
  <si>
    <t>Theakston Plank</t>
  </si>
  <si>
    <t>Plank</t>
  </si>
  <si>
    <t>0xD5</t>
  </si>
  <si>
    <t>Ken Cake</t>
  </si>
  <si>
    <t>Cake</t>
  </si>
  <si>
    <t>0xD6</t>
  </si>
  <si>
    <t>Mitch Grumble</t>
  </si>
  <si>
    <t>Grumble</t>
  </si>
  <si>
    <t>0xD7</t>
  </si>
  <si>
    <t>Bart Grantham</t>
  </si>
  <si>
    <t>Grantham</t>
  </si>
  <si>
    <t>0xD8</t>
  </si>
  <si>
    <t>Joe Ingram</t>
  </si>
  <si>
    <t>Ingram</t>
  </si>
  <si>
    <t>0xDD</t>
  </si>
  <si>
    <t>Umbrella</t>
  </si>
  <si>
    <t>Kendall Sefton</t>
  </si>
  <si>
    <t>Sefton</t>
  </si>
  <si>
    <t>0xDE</t>
  </si>
  <si>
    <t>Jason Strike</t>
  </si>
  <si>
    <t>Strike</t>
  </si>
  <si>
    <t>0xDF</t>
  </si>
  <si>
    <t>Norman Porter</t>
  </si>
  <si>
    <t>Porter</t>
  </si>
  <si>
    <t>0xE0</t>
  </si>
  <si>
    <t>Maxwell Claus</t>
  </si>
  <si>
    <t>Chops</t>
  </si>
  <si>
    <t>0xE1</t>
  </si>
  <si>
    <t>Bruce Chaney</t>
  </si>
  <si>
    <t>Chaney</t>
  </si>
  <si>
    <t>0xE2</t>
  </si>
  <si>
    <t>Leroy Rhymes</t>
  </si>
  <si>
    <t>Rhymes</t>
  </si>
  <si>
    <t>0xE3</t>
  </si>
  <si>
    <t>Mildford Scott</t>
  </si>
  <si>
    <t>Scott</t>
  </si>
  <si>
    <t>0xE4</t>
  </si>
  <si>
    <t>Lou Edmonds</t>
  </si>
  <si>
    <t>Edmonds</t>
  </si>
  <si>
    <t>0xE5</t>
  </si>
  <si>
    <t>Cameron Morefield</t>
  </si>
  <si>
    <t>Morefield</t>
  </si>
  <si>
    <t>0xE6</t>
  </si>
  <si>
    <t>Greg Bernard</t>
  </si>
  <si>
    <t>Cyborg</t>
  </si>
  <si>
    <t>0xE7</t>
  </si>
  <si>
    <t>Peter Banker</t>
  </si>
  <si>
    <t>Banker</t>
  </si>
  <si>
    <t>0xE8</t>
  </si>
  <si>
    <t>Saul Tunk</t>
  </si>
  <si>
    <t>Tunk</t>
  </si>
  <si>
    <t>0xE9</t>
  </si>
  <si>
    <t>Alan Most</t>
  </si>
  <si>
    <t>Most</t>
  </si>
  <si>
    <t>0xEA</t>
  </si>
  <si>
    <t>Paul Caperock</t>
  </si>
  <si>
    <t>Caperock</t>
  </si>
  <si>
    <t>0xEB</t>
  </si>
  <si>
    <t>Julius Molehill</t>
  </si>
  <si>
    <t>Molehill</t>
  </si>
  <si>
    <t>0xEC</t>
  </si>
  <si>
    <t>Suzanne Yuma</t>
  </si>
  <si>
    <t>Yuma</t>
  </si>
  <si>
    <t>0xF1</t>
  </si>
  <si>
    <t>T. Fielding</t>
  </si>
  <si>
    <t>Fielding</t>
  </si>
  <si>
    <t>0xF2</t>
  </si>
  <si>
    <t>A. Lovely</t>
  </si>
  <si>
    <t>Lovely</t>
  </si>
  <si>
    <t>0xF3</t>
  </si>
  <si>
    <t>Louis Hillside</t>
  </si>
  <si>
    <t>Knuckles</t>
  </si>
  <si>
    <t>0xF4</t>
  </si>
  <si>
    <t>Ness Sheldon</t>
  </si>
  <si>
    <t>Sheldon</t>
  </si>
  <si>
    <t>0xF5</t>
  </si>
  <si>
    <t>Lizzy Squirrel</t>
  </si>
  <si>
    <t>Squirrel</t>
  </si>
  <si>
    <t>0xF6</t>
  </si>
  <si>
    <t>Kippy Jones</t>
  </si>
  <si>
    <t>Jones</t>
  </si>
  <si>
    <t>0xF7</t>
  </si>
  <si>
    <t>F. Riversong</t>
  </si>
  <si>
    <t>Riversong</t>
  </si>
  <si>
    <t>0xF8</t>
  </si>
  <si>
    <t>Samantha Moonlight</t>
  </si>
  <si>
    <t>Samantha</t>
  </si>
  <si>
    <t>0xF9</t>
  </si>
  <si>
    <t>Mitch Sandstone</t>
  </si>
  <si>
    <t>Sandstone</t>
  </si>
  <si>
    <t>0xFA</t>
  </si>
  <si>
    <t>Eddie Prentice</t>
  </si>
  <si>
    <t>Prentice</t>
  </si>
  <si>
    <t>0xFB</t>
  </si>
  <si>
    <t>Alf Holmes</t>
  </si>
  <si>
    <t>Holmes</t>
  </si>
  <si>
    <t>0xFC</t>
  </si>
  <si>
    <t>Ian Stager</t>
  </si>
  <si>
    <t>Stager</t>
  </si>
  <si>
    <t>0xFD</t>
  </si>
  <si>
    <t>Fred Crumb</t>
  </si>
  <si>
    <t>Crumb</t>
  </si>
  <si>
    <t>0xFE</t>
  </si>
  <si>
    <t>Doug Baughan</t>
  </si>
  <si>
    <t>Baughan</t>
  </si>
  <si>
    <t>0xFF</t>
  </si>
  <si>
    <t>Base por posición (jugador Común, tamaño Medium)</t>
  </si>
  <si>
    <t>Perfil</t>
  </si>
  <si>
    <t>Delanteros: pegan más</t>
  </si>
  <si>
    <t>Centrocampistas: más velocidad y regate</t>
  </si>
  <si>
    <t>Defensas: más vida y defensa</t>
  </si>
  <si>
    <t>Porteros: aguantan mucho, algo de pegada, lentos</t>
  </si>
  <si>
    <t>Multiplicador por tamaño</t>
  </si>
  <si>
    <t>Multiplicador por rareza</t>
  </si>
  <si>
    <t>Fórmula de cada stat inicial = Base de la posición × Multiplicador de tamaño × Multiplicador de rareza × Variación individual (hoja Variación), redondeado. Se calcula en la hoja IE1, columnas K a P.</t>
  </si>
  <si>
    <t>Las celdas en azul son editables: cambia cualquier número y todos los jugadores de IE1 se recalculan solos.</t>
  </si>
  <si>
    <t>Vida = vida máxima · Ataque = daño del disparo básico · Ataque especial = daño de Q, E y R · Defensa = reducción plana de daño recibido · Velocidad = velocidad de movimiento (100 = referencia) · Regate = probabilidad de esquivar.</t>
  </si>
  <si>
    <t>Los valores concretos son una propuesta inicial mía (no vienen de ninguna fuente oficial): están pensados para equilibrarlos jugando.</t>
  </si>
  <si>
    <t>Escala de las barras (valor que llena la barra al 100 %) · en Regate es además el tope máximo</t>
  </si>
  <si>
    <t>Escala</t>
  </si>
  <si>
    <t>Máximo</t>
  </si>
  <si>
    <t>Las barras de la hoja Ficha usan esta escala. Las barras de las columnas K-P de IE1 usan los mismos valores fijos (si los cambias aquí, cámbialos también en Formato condicional de IE1). El Regate de ningún jugador puede superar el valor de la columna Regate de esta tabla (tope).</t>
  </si>
  <si>
    <t>Variación individual por jugador (multiplicador sobre la fórmula base posición × tamaño × rareza)</t>
  </si>
  <si>
    <t>Azul = editable. 1,00x = sin cambio; 1,10x = +10 % en ese stat. Perfiles de Mark, Nathan, Jack, Axel, Byron, Jude, Erik, King, Kevin y Shadow escritos a mano (criterio mío); el resto generados con una semilla fija por jugador (siempre salen igual) con perfil tipo "más ofensivo / más tanque / más ágil". Si añades un jugador nuevo sin fila aquí, usa 1,00x.</t>
  </si>
  <si>
    <t>Criterio</t>
  </si>
  <si>
    <t>Nº jugadores</t>
  </si>
  <si>
    <t>Las estrellas de la historia: Mark Evans, Axel Blaze, Jude Sharp, Erik Eagle, Byron Love</t>
  </si>
  <si>
    <t>Jugadores clave y capitanes de cada equipo (y casi todo Raimon)</t>
  </si>
  <si>
    <t>El 25 % con mejores stats de nivel 1 entre el resto</t>
  </si>
  <si>
    <t>El siguiente 35 % por stats de nivel 1</t>
  </si>
  <si>
    <t>El 40 % con stats de nivel 1 más bajas</t>
  </si>
  <si>
    <t>Base: rarezas del juego Inazuma Rogue (franmndezzzz) y equipos de zukan.inazuma.jp (IE1). Raro/Poco Común/Común según la suma de Kick, Body, Control, Guard, Speed, Stamina y Guts.</t>
  </si>
  <si>
    <t>Jugadores con afinidad Dragon o Celestial (antes → ahora)</t>
  </si>
  <si>
    <t>Afinidad antes</t>
  </si>
  <si>
    <t>Afinidad ahora</t>
  </si>
  <si>
    <t>Motivo</t>
  </si>
  <si>
    <t>Meteor Attack</t>
  </si>
  <si>
    <t>God Hand y Majin The Hand (técnicas "divinas")</t>
  </si>
  <si>
    <t>Divine Arrows</t>
  </si>
  <si>
    <t>Zeus: Apolo (dios del sol)</t>
  </si>
  <si>
    <t>Zeus: Hermes</t>
  </si>
  <si>
    <t>Zeus: Artemisa (diosa de la luna)</t>
  </si>
  <si>
    <t>God Knows, Heaven's Time y God Break; capitán de Zeus</t>
  </si>
  <si>
    <t>Zeus: Dioniso</t>
  </si>
  <si>
    <t>Zeus: Hera</t>
  </si>
  <si>
    <t>Zeus: Hefesto</t>
  </si>
  <si>
    <t>Zeus: Deméter</t>
  </si>
  <si>
    <t>Zeus: Ares</t>
  </si>
  <si>
    <t>Zeus: Poseidón (motivo de dioses olímpicos del equipo)</t>
  </si>
  <si>
    <t>Zeus: Atenea</t>
  </si>
  <si>
    <t>Apariencia: pelo verde-azulado como escamas, colmillos y gesto feroz</t>
  </si>
  <si>
    <t>Apariencia: cresta con cuernos y rostro de reptil</t>
  </si>
  <si>
    <t>Dragon Crash</t>
  </si>
  <si>
    <t>Dragon Crash y Dragon Tornado</t>
  </si>
  <si>
    <t>Apariencia: pelo verde-azulado en pinchos, como escamas</t>
  </si>
  <si>
    <t>Apariencia: rasgos de reptil/serpiente</t>
  </si>
  <si>
    <t>Apariencia: pelo de serpiente (Medusa de Zeus)</t>
  </si>
  <si>
    <t>Técnicas sacadas de la base del índice (github.com/realt0w/inazuma-index) y de las wikis de Inazuma Eleven. La afinidad real se cambia en la columna Element de la hoja IE1; esta hoja es solo el registro de los cambios.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</si>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</sst>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numFmt numFmtId="165" formatCode="0.0"/>
    <numFmt numFmtId="166" formatCode="0.0%"/>
    <numFmt numFmtId="167" formatCode="0.00\x"/>
  </numFmts>
  <fonts count="12" x14ac:knownFonts="1">
    <font>
      <sz val="11"/>
      <color theme="1"/>
      <name val="Aptos Narrow"/>
      <charset val="1"/>
    </font>
    <font>
      <b/>
      <sz val="10"/>
      <color rgb="FFFFFFFF"/>
      <name val="Arial"/>
      <charset val="1"/>
    </font>
    <font>
      <i/>
      <sz val="9"/>
      <name val="Arial"/>
      <charset val="1"/>
    </font>
    <font>
      <b/>
      <sz val="10"/>
      <name val="Arial"/>
      <charset val="1"/>
    </font>
    <font>
      <b/>
      <sz val="11"/>
      <color rgb="FF0000FF"/>
      <name val="Arial"/>
      <charset val="1"/>
    </font>
    <font>
      <sz val="10"/>
      <name val="Arial"/>
      <charset val="1"/>
    </font>
    <font>
      <b/>
      <sz val="11"/>
      <name val="Arial"/>
      <charset val="1"/>
    </font>
    <font>
      <sz val="10"/>
      <color theme="1"/>
      <name val="Arial"/>
      <charset val="1"/>
    </font>
    <font>
      <b/>
      <sz val="10"/>
      <color theme="1"/>
      <name val="Arial"/>
      <charset val="1"/>
    </font>
    <font>
      <sz val="10"/>
      <color rgb="FF0000FF"/>
      <name val="Arial"/>
      <charset val="1"/>
    </font>
    <font>
      <sz val="10"/>
      <color rgb="FFFF00FF"/>
      <name val="Arial"/>
      <charset val="1"/>
    </font>
    <font>
      <sz val="11"/>
      <name val="Arial"/>
      <charset val="1"/>
    </font>
  </fonts>
  <fills count="12">
    <fill>
      <patternFill patternType="none"/>
    </fill>
    <fill>
      <patternFill patternType="gray125"/>
    </fill>
    <fill>
      <patternFill patternType="solid">
        <fgColor rgb="FF000000"/>
        <bgColor rgb="FF16233A"/>
      </patternFill>
    </fill>
    <fill>
      <patternFill patternType="solid">
        <fgColor rgb="FFFFFF99"/>
        <bgColor rgb="FFFFFFCC"/>
      </patternFill>
    </fill>
    <fill>
      <patternFill patternType="solid">
        <fgColor rgb="FF16233A"/>
        <bgColor rgb="FF003366"/>
      </patternFill>
    </fill>
    <fill>
      <patternFill patternType="solid">
        <fgColor rgb="FF4285F4"/>
        <bgColor rgb="FF666699"/>
      </patternFill>
    </fill>
    <fill>
      <patternFill patternType="solid">
        <fgColor rgb="FFECF3FF"/>
        <bgColor rgb="FFFFFFFF"/>
      </patternFill>
    </fill>
    <fill>
      <patternFill patternType="solid">
        <fgColor rgb="FFFFD966"/>
        <bgColor rgb="FFFFE066"/>
      </patternFill>
    </fill>
    <fill>
      <patternFill patternType="solid">
        <fgColor rgb="FFE4C1F9"/>
        <bgColor rgb="FFCCCCCC"/>
      </patternFill>
    </fill>
    <fill>
      <patternFill patternType="solid">
        <fgColor rgb="FFBDD7EE"/>
        <bgColor rgb="FFCCCCCC"/>
      </patternFill>
    </fill>
    <fill>
      <patternFill patternType="solid">
        <fgColor rgb="FFC6EFCE"/>
        <bgColor rgb="FFD9D9D9"/>
      </patternFill>
    </fill>
    <fill>
      <patternFill patternType="solid">
        <fgColor rgb="FFD9D9D9"/>
        <bgColor rgb="FFCCCCCC"/>
      </patternFill>
    </fill>
  </fills>
  <borders count="9">
    <border>
      <left/>
      <right/>
      <top/>
      <bottom/>
      <diagonal/>
    </border>
    <border>
      <left style="medium">
        <color auto="1"/>
      </left>
      <right style="medium">
        <color auto="1"/>
      </right>
      <top style="medium">
        <color auto="1"/>
      </top>
      <bottom style="medium">
        <color auto="1"/>
      </bottom>
      <diagonal/>
    </border>
    <border>
      <left style="medium">
        <color rgb="FFCCCCCC"/>
      </left>
      <right style="thick">
        <color rgb="FFFFFFFF"/>
      </right>
      <top style="medium">
        <color rgb="FFCCCCCC"/>
      </top>
      <bottom style="thick">
        <color auto="1"/>
      </bottom>
      <diagonal/>
    </border>
    <border>
      <left style="medium">
        <color rgb="FFCCCCCC"/>
      </left>
      <right style="medium">
        <color rgb="FFCCCCCC"/>
      </right>
      <top style="medium">
        <color rgb="FFCCCCCC"/>
      </top>
      <bottom style="thick">
        <color auto="1"/>
      </bottom>
      <diagonal/>
    </border>
    <border>
      <left style="thick">
        <color rgb="FFFFFFFF"/>
      </left>
      <right style="thick">
        <color rgb="FFFFFFFF"/>
      </right>
      <top style="medium">
        <color rgb="FFCCCCCC"/>
      </top>
      <bottom style="thick">
        <color auto="1"/>
      </bottom>
      <diagonal/>
    </border>
    <border>
      <left style="thick">
        <color auto="1"/>
      </left>
      <right style="thick">
        <color auto="1"/>
      </right>
      <top style="medium">
        <color rgb="FFCCCCCC"/>
      </top>
      <bottom style="thick">
        <color auto="1"/>
      </bottom>
      <diagonal/>
    </border>
    <border>
      <left style="medium">
        <color rgb="FFCCCCCC"/>
      </left>
      <right style="thick">
        <color auto="1"/>
      </right>
      <top style="medium">
        <color rgb="FFCCCCCC"/>
      </top>
      <bottom style="thick">
        <color auto="1"/>
      </bottom>
      <diagonal/>
    </border>
    <border>
      <left style="medium">
        <color rgb="FFCCCCCC"/>
      </left>
      <right style="thick">
        <color auto="1"/>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48">
    <xf numFmtId="0" fontId="0" fillId="0" borderId="0" xfId="0"/>
    <xf numFmtId="0" fontId="2" fillId="0" borderId="0" xfId="0" applyFont="1"/>
    <xf numFmtId="0" fontId="3" fillId="0" borderId="0" xfId="0" applyFont="1"/>
    <xf numFmtId="0" fontId="4" fillId="3" borderId="1" xfId="0" applyFont="1" applyFill="1" applyBorder="1"/>
    <xf numFmtId="0" fontId="5" fillId="0" borderId="0" xfId="0" applyFont="1" applyAlignment="1">
      <alignment horizontal="left"/>
    </xf>
    <xf numFmtId="0" fontId="6" fillId="0" borderId="0" xfId="0" applyFont="1" applyAlignment="1">
      <alignment vertical="center"/>
    </xf>
    <xf numFmtId="164" fontId="0" fillId="4" borderId="0" xfId="0" applyNumberFormat="1" applyFill="1"/>
    <xf numFmtId="1" fontId="6" fillId="0" borderId="0" xfId="0" applyNumberFormat="1" applyFont="1" applyAlignment="1">
      <alignment horizontal="center" vertical="center"/>
    </xf>
    <xf numFmtId="165" fontId="6" fillId="0" borderId="0" xfId="0" applyNumberFormat="1" applyFont="1" applyAlignment="1">
      <alignment horizontal="center" vertical="center"/>
    </xf>
    <xf numFmtId="166" fontId="6" fillId="0" borderId="0" xfId="0" applyNumberFormat="1" applyFont="1" applyAlignment="1">
      <alignment horizontal="center" vertical="center"/>
    </xf>
    <xf numFmtId="0" fontId="7" fillId="2" borderId="3" xfId="0" applyFont="1" applyFill="1" applyBorder="1" applyAlignment="1">
      <alignment vertical="center" wrapText="1"/>
    </xf>
    <xf numFmtId="0" fontId="8" fillId="5" borderId="5" xfId="0" applyFont="1" applyFill="1" applyBorder="1" applyAlignment="1">
      <alignment vertical="center" wrapText="1"/>
    </xf>
    <xf numFmtId="0" fontId="8" fillId="5" borderId="6" xfId="0" applyFont="1" applyFill="1" applyBorder="1" applyAlignment="1">
      <alignment vertical="center" wrapText="1"/>
    </xf>
    <xf numFmtId="0" fontId="8" fillId="5" borderId="6" xfId="0" applyFont="1" applyFill="1" applyBorder="1" applyAlignment="1">
      <alignment horizontal="center" vertical="center" wrapText="1"/>
    </xf>
    <xf numFmtId="0" fontId="8" fillId="5" borderId="6" xfId="0" applyFont="1" applyFill="1" applyBorder="1" applyAlignment="1">
      <alignment horizontal="center" vertical="center"/>
    </xf>
    <xf numFmtId="0" fontId="7" fillId="6" borderId="6" xfId="0" applyFont="1" applyFill="1" applyBorder="1" applyAlignment="1">
      <alignment vertical="center" wrapText="1"/>
    </xf>
    <xf numFmtId="0" fontId="7" fillId="6" borderId="6"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7" fillId="6" borderId="3" xfId="0" applyFont="1" applyFill="1" applyBorder="1" applyAlignment="1">
      <alignment vertical="center" wrapText="1"/>
    </xf>
    <xf numFmtId="1" fontId="7" fillId="6" borderId="3" xfId="0" applyNumberFormat="1" applyFont="1" applyFill="1" applyBorder="1" applyAlignment="1">
      <alignment horizontal="center" vertical="center"/>
    </xf>
    <xf numFmtId="165" fontId="7" fillId="6" borderId="3" xfId="0" applyNumberFormat="1" applyFont="1" applyFill="1" applyBorder="1" applyAlignment="1">
      <alignment horizontal="center" vertical="center"/>
    </xf>
    <xf numFmtId="166" fontId="7" fillId="6" borderId="3" xfId="0" applyNumberFormat="1" applyFont="1" applyFill="1" applyBorder="1" applyAlignment="1">
      <alignment horizontal="center" vertical="center"/>
    </xf>
    <xf numFmtId="0" fontId="10" fillId="6" borderId="6" xfId="0" applyFont="1" applyFill="1" applyBorder="1" applyAlignment="1">
      <alignment horizontal="center" vertical="center" wrapText="1"/>
    </xf>
    <xf numFmtId="0" fontId="7" fillId="6" borderId="7" xfId="0" applyFont="1" applyFill="1" applyBorder="1" applyAlignment="1">
      <alignment vertical="center" wrapText="1"/>
    </xf>
    <xf numFmtId="0" fontId="7" fillId="6" borderId="7" xfId="0" applyFont="1" applyFill="1" applyBorder="1" applyAlignment="1">
      <alignment horizontal="center" vertical="center" wrapText="1"/>
    </xf>
    <xf numFmtId="0" fontId="9" fillId="6" borderId="7" xfId="0" applyFont="1" applyFill="1" applyBorder="1" applyAlignment="1">
      <alignment horizontal="center" vertical="center" wrapText="1"/>
    </xf>
    <xf numFmtId="0" fontId="7" fillId="6" borderId="8" xfId="0" applyFont="1" applyFill="1" applyBorder="1" applyAlignment="1">
      <alignment vertical="center" wrapText="1"/>
    </xf>
    <xf numFmtId="1" fontId="7" fillId="6" borderId="8" xfId="0" applyNumberFormat="1" applyFont="1" applyFill="1" applyBorder="1" applyAlignment="1">
      <alignment horizontal="center" vertical="center"/>
    </xf>
    <xf numFmtId="165" fontId="7" fillId="6" borderId="8" xfId="0" applyNumberFormat="1" applyFont="1" applyFill="1" applyBorder="1" applyAlignment="1">
      <alignment horizontal="center" vertical="center"/>
    </xf>
    <xf numFmtId="166" fontId="7" fillId="6" borderId="8" xfId="0" applyNumberFormat="1" applyFont="1" applyFill="1" applyBorder="1" applyAlignment="1">
      <alignment horizontal="center" vertical="center"/>
    </xf>
    <xf numFmtId="0" fontId="3" fillId="5" borderId="1" xfId="0" applyFont="1" applyFill="1" applyBorder="1" applyAlignment="1">
      <alignment horizontal="center" vertical="center"/>
    </xf>
    <xf numFmtId="0" fontId="5" fillId="6" borderId="1" xfId="0" applyFont="1" applyFill="1" applyBorder="1" applyAlignment="1">
      <alignment horizontal="center" vertical="center"/>
    </xf>
    <xf numFmtId="1" fontId="9" fillId="6" borderId="1" xfId="0" applyNumberFormat="1" applyFont="1" applyFill="1" applyBorder="1" applyAlignment="1">
      <alignment horizontal="center" vertical="center"/>
    </xf>
    <xf numFmtId="165" fontId="9" fillId="6" borderId="1" xfId="0" applyNumberFormat="1" applyFont="1" applyFill="1" applyBorder="1" applyAlignment="1">
      <alignment horizontal="center" vertical="center"/>
    </xf>
    <xf numFmtId="166" fontId="9" fillId="6" borderId="1" xfId="0" applyNumberFormat="1" applyFont="1" applyFill="1" applyBorder="1" applyAlignment="1">
      <alignment horizontal="center" vertical="center"/>
    </xf>
    <xf numFmtId="167" fontId="9" fillId="6" borderId="1" xfId="0" applyNumberFormat="1" applyFont="1" applyFill="1" applyBorder="1" applyAlignment="1">
      <alignment horizontal="center" vertical="center"/>
    </xf>
    <xf numFmtId="9" fontId="9" fillId="6" borderId="1" xfId="0" applyNumberFormat="1" applyFont="1" applyFill="1" applyBorder="1" applyAlignment="1">
      <alignment horizontal="center" vertical="center"/>
    </xf>
    <xf numFmtId="0" fontId="5" fillId="6" borderId="1" xfId="0" applyFont="1" applyFill="1" applyBorder="1" applyAlignment="1">
      <alignment horizontal="left" vertical="center"/>
    </xf>
    <xf numFmtId="0" fontId="6" fillId="0" borderId="0" xfId="0" applyFont="1"/>
    <xf numFmtId="0" fontId="11" fillId="7" borderId="0" xfId="0" applyFont="1" applyFill="1"/>
    <xf numFmtId="0" fontId="11" fillId="0" borderId="0" xfId="0" applyFont="1"/>
    <xf numFmtId="0" fontId="11" fillId="8" borderId="0" xfId="0" applyFont="1" applyFill="1"/>
    <xf numFmtId="0" fontId="11" fillId="9" borderId="0" xfId="0" applyFont="1" applyFill="1"/>
    <xf numFmtId="0" fontId="11" fillId="10" borderId="0" xfId="0" applyFont="1" applyFill="1"/>
    <xf numFmtId="0" fontId="11" fillId="11" borderId="0" xfId="0" applyFont="1" applyFill="1"/>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0" xfId="0" applyFont="1" applyFill="1" applyAlignment="1">
      <alignment horizontal="center" vertical="center"/>
    </xf>
  </cellXfs>
  <cellStyles count="1">
    <cellStyle name="Normal" xfId="0" builtinId="0"/>
  </cellStyles>
  <dxfs count="45">
    <dxf>
      <font>
        <b/>
      </font>
      <fill>
        <patternFill>
          <bgColor rgb="FFD9A066"/>
        </patternFill>
      </fill>
    </dxf>
    <dxf>
      <font>
        <b/>
      </font>
      <fill>
        <patternFill>
          <bgColor rgb="FFFF7C80"/>
        </patternFill>
      </fill>
    </dxf>
    <dxf>
      <font>
        <b/>
      </font>
      <fill>
        <patternFill>
          <bgColor rgb="FF9DD5F0"/>
        </patternFill>
      </fill>
    </dxf>
    <dxf>
      <font>
        <b/>
      </font>
      <fill>
        <patternFill>
          <bgColor rgb="FFA9D18E"/>
        </patternFill>
      </fill>
    </dxf>
    <dxf>
      <font>
        <b/>
      </font>
      <fill>
        <patternFill>
          <bgColor rgb="FFC9A0F0"/>
        </patternFill>
      </fill>
    </dxf>
    <dxf>
      <font>
        <b/>
      </font>
      <fill>
        <patternFill>
          <bgColor rgb="FFFFE066"/>
        </patternFill>
      </fill>
    </dxf>
    <dxf>
      <font>
        <b/>
      </font>
      <fill>
        <patternFill>
          <bgColor rgb="FFD9A066"/>
        </patternFill>
      </fill>
    </dxf>
    <dxf>
      <font>
        <b/>
      </font>
      <fill>
        <patternFill>
          <bgColor rgb="FFFF7C80"/>
        </patternFill>
      </fill>
    </dxf>
    <dxf>
      <font>
        <b/>
      </font>
      <fill>
        <patternFill>
          <bgColor rgb="FF9DD5F0"/>
        </patternFill>
      </fill>
    </dxf>
    <dxf>
      <font>
        <b/>
      </font>
      <fill>
        <patternFill>
          <bgColor rgb="FFA9D18E"/>
        </patternFill>
      </fill>
    </dxf>
    <dxf>
      <font>
        <b/>
      </font>
      <fill>
        <patternFill>
          <bgColor rgb="FFC9A0F0"/>
        </patternFill>
      </fill>
    </dxf>
    <dxf>
      <font>
        <b/>
      </font>
      <fill>
        <patternFill>
          <bgColor rgb="FFFFE066"/>
        </patternFill>
      </fill>
    </dxf>
    <dxf>
      <font>
        <b/>
      </font>
      <fill>
        <patternFill>
          <bgColor rgb="FFFFD966"/>
        </patternFill>
      </fill>
    </dxf>
    <dxf>
      <font>
        <b/>
      </font>
      <fill>
        <patternFill>
          <bgColor rgb="FFE4C1F9"/>
        </patternFill>
      </fill>
    </dxf>
    <dxf>
      <fill>
        <patternFill>
          <bgColor rgb="FFBDD7EE"/>
        </patternFill>
      </fill>
    </dxf>
    <dxf>
      <fill>
        <patternFill>
          <bgColor rgb="FFC6EFCE"/>
        </patternFill>
      </fill>
    </dxf>
    <dxf>
      <fill>
        <patternFill>
          <bgColor rgb="FFD9D9D9"/>
        </patternFill>
      </fill>
    </dxf>
    <dxf>
      <font>
        <b/>
      </font>
      <fill>
        <patternFill>
          <bgColor rgb="FFD9A066"/>
        </patternFill>
      </fill>
    </dxf>
    <dxf>
      <font>
        <b/>
      </font>
      <fill>
        <patternFill>
          <bgColor rgb="FFFF7C80"/>
        </patternFill>
      </fill>
    </dxf>
    <dxf>
      <font>
        <b/>
      </font>
      <fill>
        <patternFill>
          <bgColor rgb="FF9DD5F0"/>
        </patternFill>
      </fill>
    </dxf>
    <dxf>
      <font>
        <b/>
      </font>
      <fill>
        <patternFill>
          <bgColor rgb="FFA9D18E"/>
        </patternFill>
      </fill>
    </dxf>
    <dxf>
      <font>
        <b/>
      </font>
      <fill>
        <patternFill>
          <bgColor rgb="FFC9A0F0"/>
        </patternFill>
      </fill>
    </dxf>
    <dxf>
      <font>
        <b/>
      </font>
      <fill>
        <patternFill>
          <bgColor rgb="FFFFE066"/>
        </patternFill>
      </fill>
    </dxf>
    <dxf>
      <fill>
        <patternFill>
          <bgColor rgb="FFFFD966"/>
        </patternFill>
      </fill>
    </dxf>
    <dxf>
      <fill>
        <patternFill>
          <bgColor rgb="FFE4C1F9"/>
        </patternFill>
      </fill>
    </dxf>
    <dxf>
      <fill>
        <patternFill>
          <bgColor rgb="FFBDD7EE"/>
        </patternFill>
      </fill>
    </dxf>
    <dxf>
      <fill>
        <patternFill>
          <bgColor rgb="FFC6EFCE"/>
        </patternFill>
      </fill>
    </dxf>
    <dxf>
      <fill>
        <patternFill>
          <bgColor rgb="FFD9D9D9"/>
        </patternFill>
      </fill>
    </dxf>
    <dxf>
      <font>
        <b/>
      </font>
      <fill>
        <patternFill>
          <bgColor rgb="FFD9A066"/>
        </patternFill>
      </fill>
    </dxf>
    <dxf>
      <font>
        <b/>
      </font>
      <fill>
        <patternFill>
          <bgColor rgb="FFFF7C80"/>
        </patternFill>
      </fill>
    </dxf>
    <dxf>
      <font>
        <b/>
      </font>
      <fill>
        <patternFill>
          <bgColor rgb="FF9DD5F0"/>
        </patternFill>
      </fill>
    </dxf>
    <dxf>
      <font>
        <b/>
      </font>
      <fill>
        <patternFill>
          <bgColor rgb="FFA9D18E"/>
        </patternFill>
      </fill>
    </dxf>
    <dxf>
      <font>
        <b/>
      </font>
      <fill>
        <patternFill>
          <bgColor rgb="FFC9A0F0"/>
        </patternFill>
      </fill>
    </dxf>
    <dxf>
      <font>
        <b/>
      </font>
      <fill>
        <patternFill>
          <bgColor rgb="FFFFE066"/>
        </patternFill>
      </fill>
    </dxf>
    <dxf>
      <fill>
        <patternFill>
          <bgColor rgb="FFFFD966"/>
        </patternFill>
      </fill>
    </dxf>
    <dxf>
      <fill>
        <patternFill>
          <bgColor rgb="FFE4C1F9"/>
        </patternFill>
      </fill>
    </dxf>
    <dxf>
      <fill>
        <patternFill>
          <bgColor rgb="FFBDD7EE"/>
        </patternFill>
      </fill>
    </dxf>
    <dxf>
      <fill>
        <patternFill>
          <bgColor rgb="FFC6EFCE"/>
        </patternFill>
      </fill>
    </dxf>
    <dxf>
      <fill>
        <patternFill>
          <bgColor rgb="FFD9D9D9"/>
        </patternFill>
      </fill>
    </dxf>
    <dxf>
      <font>
        <b/>
      </font>
      <fill>
        <patternFill>
          <bgColor rgb="FFD9A066"/>
        </patternFill>
      </fill>
    </dxf>
    <dxf>
      <font>
        <b/>
      </font>
      <fill>
        <patternFill>
          <bgColor rgb="FFFF7C80"/>
        </patternFill>
      </fill>
    </dxf>
    <dxf>
      <font>
        <b/>
      </font>
      <fill>
        <patternFill>
          <bgColor rgb="FF9DD5F0"/>
        </patternFill>
      </fill>
    </dxf>
    <dxf>
      <font>
        <b/>
      </font>
      <fill>
        <patternFill>
          <bgColor rgb="FFA9D18E"/>
        </patternFill>
      </fill>
    </dxf>
    <dxf>
      <font>
        <b/>
      </font>
      <fill>
        <patternFill>
          <bgColor rgb="FFC9A0F0"/>
        </patternFill>
      </fill>
    </dxf>
    <dxf>
      <font>
        <b/>
      </font>
      <fill>
        <patternFill>
          <bgColor rgb="FFFFE066"/>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ECF3FF"/>
      <rgbColor rgb="FF660066"/>
      <rgbColor rgb="FFFF7C80"/>
      <rgbColor rgb="FF0066CC"/>
      <rgbColor rgb="FFBDD7EE"/>
      <rgbColor rgb="FF000080"/>
      <rgbColor rgb="FFFF00FF"/>
      <rgbColor rgb="FFFFFF00"/>
      <rgbColor rgb="FF00FFFF"/>
      <rgbColor rgb="FF800080"/>
      <rgbColor rgb="FF800000"/>
      <rgbColor rgb="FF008080"/>
      <rgbColor rgb="FF0000FF"/>
      <rgbColor rgb="FF00CCFF"/>
      <rgbColor rgb="FFD9D9D9"/>
      <rgbColor rgb="FFC6EFCE"/>
      <rgbColor rgb="FFFFFF99"/>
      <rgbColor rgb="FF9DD5F0"/>
      <rgbColor rgb="FFE4C1F9"/>
      <rgbColor rgb="FFC9A0F0"/>
      <rgbColor rgb="FFFFD966"/>
      <rgbColor rgb="FF4285F4"/>
      <rgbColor rgb="FF33CCCC"/>
      <rgbColor rgb="FF99CC00"/>
      <rgbColor rgb="FFFFE066"/>
      <rgbColor rgb="FFD9A066"/>
      <rgbColor rgb="FFFF6600"/>
      <rgbColor rgb="FF666699"/>
      <rgbColor rgb="FFA9D18E"/>
      <rgbColor rgb="FF003366"/>
      <rgbColor rgb="FF339966"/>
      <rgbColor rgb="FF003300"/>
      <rgbColor rgb="FF333300"/>
      <rgbColor rgb="FF993300"/>
      <rgbColor rgb="FF993366"/>
      <rgbColor rgb="FF333399"/>
      <rgbColor rgb="FF1623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70" Type="http://schemas.openxmlformats.org/officeDocument/2006/relationships/image" Target="../media/image170.png"/><Relationship Id="rId191" Type="http://schemas.openxmlformats.org/officeDocument/2006/relationships/image" Target="../media/image191.png"/><Relationship Id="rId205" Type="http://schemas.openxmlformats.org/officeDocument/2006/relationships/image" Target="../media/image205.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181" Type="http://schemas.openxmlformats.org/officeDocument/2006/relationships/image" Target="../media/image181.png"/><Relationship Id="rId216" Type="http://schemas.openxmlformats.org/officeDocument/2006/relationships/image" Target="../media/image216.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71" Type="http://schemas.openxmlformats.org/officeDocument/2006/relationships/image" Target="../media/image171.png"/><Relationship Id="rId192" Type="http://schemas.openxmlformats.org/officeDocument/2006/relationships/image" Target="../media/image192.png"/><Relationship Id="rId206" Type="http://schemas.openxmlformats.org/officeDocument/2006/relationships/image" Target="../media/image206.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8.png"/><Relationship Id="rId129" Type="http://schemas.openxmlformats.org/officeDocument/2006/relationships/image" Target="../media/image129.png"/><Relationship Id="rId54" Type="http://schemas.openxmlformats.org/officeDocument/2006/relationships/image" Target="../media/image54.png"/><Relationship Id="rId75" Type="http://schemas.openxmlformats.org/officeDocument/2006/relationships/image" Target="../media/image75.png"/><Relationship Id="rId96" Type="http://schemas.openxmlformats.org/officeDocument/2006/relationships/image" Target="../media/image96.png"/><Relationship Id="rId140" Type="http://schemas.openxmlformats.org/officeDocument/2006/relationships/image" Target="../media/image140.png"/><Relationship Id="rId161" Type="http://schemas.openxmlformats.org/officeDocument/2006/relationships/image" Target="../media/image161.png"/><Relationship Id="rId182" Type="http://schemas.openxmlformats.org/officeDocument/2006/relationships/image" Target="../media/image182.png"/><Relationship Id="rId217" Type="http://schemas.openxmlformats.org/officeDocument/2006/relationships/image" Target="../media/image217.png"/><Relationship Id="rId6" Type="http://schemas.openxmlformats.org/officeDocument/2006/relationships/image" Target="../media/image6.png"/><Relationship Id="rId23" Type="http://schemas.openxmlformats.org/officeDocument/2006/relationships/image" Target="../media/image23.png"/><Relationship Id="rId119" Type="http://schemas.openxmlformats.org/officeDocument/2006/relationships/image" Target="../media/image119.png"/><Relationship Id="rId44" Type="http://schemas.openxmlformats.org/officeDocument/2006/relationships/image" Target="../media/image44.png"/><Relationship Id="rId65" Type="http://schemas.openxmlformats.org/officeDocument/2006/relationships/image" Target="../media/image65.png"/><Relationship Id="rId86" Type="http://schemas.openxmlformats.org/officeDocument/2006/relationships/image" Target="../media/image86.png"/><Relationship Id="rId130" Type="http://schemas.openxmlformats.org/officeDocument/2006/relationships/image" Target="../media/image130.png"/><Relationship Id="rId151" Type="http://schemas.openxmlformats.org/officeDocument/2006/relationships/image" Target="../media/image151.png"/><Relationship Id="rId172" Type="http://schemas.openxmlformats.org/officeDocument/2006/relationships/image" Target="../media/image172.png"/><Relationship Id="rId193" Type="http://schemas.openxmlformats.org/officeDocument/2006/relationships/image" Target="../media/image193.png"/><Relationship Id="rId207" Type="http://schemas.openxmlformats.org/officeDocument/2006/relationships/image" Target="../media/image207.png"/><Relationship Id="rId13" Type="http://schemas.openxmlformats.org/officeDocument/2006/relationships/image" Target="../media/image13.png"/><Relationship Id="rId109" Type="http://schemas.openxmlformats.org/officeDocument/2006/relationships/image" Target="../media/image109.png"/><Relationship Id="rId34" Type="http://schemas.openxmlformats.org/officeDocument/2006/relationships/image" Target="../media/image34.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20" Type="http://schemas.openxmlformats.org/officeDocument/2006/relationships/image" Target="../media/image120.png"/><Relationship Id="rId141" Type="http://schemas.openxmlformats.org/officeDocument/2006/relationships/image" Target="../media/image141.png"/><Relationship Id="rId7" Type="http://schemas.openxmlformats.org/officeDocument/2006/relationships/image" Target="../media/image7.png"/><Relationship Id="rId162" Type="http://schemas.openxmlformats.org/officeDocument/2006/relationships/image" Target="../media/image162.png"/><Relationship Id="rId183" Type="http://schemas.openxmlformats.org/officeDocument/2006/relationships/image" Target="../media/image183.png"/><Relationship Id="rId218" Type="http://schemas.openxmlformats.org/officeDocument/2006/relationships/image" Target="../media/image218.png"/><Relationship Id="rId24" Type="http://schemas.openxmlformats.org/officeDocument/2006/relationships/image" Target="../media/image24.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31" Type="http://schemas.openxmlformats.org/officeDocument/2006/relationships/image" Target="../media/image131.png"/><Relationship Id="rId152" Type="http://schemas.openxmlformats.org/officeDocument/2006/relationships/image" Target="../media/image152.png"/><Relationship Id="rId173" Type="http://schemas.openxmlformats.org/officeDocument/2006/relationships/image" Target="../media/image173.png"/><Relationship Id="rId194" Type="http://schemas.openxmlformats.org/officeDocument/2006/relationships/image" Target="../media/image194.png"/><Relationship Id="rId208" Type="http://schemas.openxmlformats.org/officeDocument/2006/relationships/image" Target="../media/image208.png"/><Relationship Id="rId14" Type="http://schemas.openxmlformats.org/officeDocument/2006/relationships/image" Target="../media/image14.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8" Type="http://schemas.openxmlformats.org/officeDocument/2006/relationships/image" Target="../media/image8.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163" Type="http://schemas.openxmlformats.org/officeDocument/2006/relationships/image" Target="../media/image163.png"/><Relationship Id="rId184" Type="http://schemas.openxmlformats.org/officeDocument/2006/relationships/image" Target="../media/image184.png"/><Relationship Id="rId219" Type="http://schemas.openxmlformats.org/officeDocument/2006/relationships/image" Target="../media/image219.png"/><Relationship Id="rId3" Type="http://schemas.openxmlformats.org/officeDocument/2006/relationships/image" Target="../media/image3.png"/><Relationship Id="rId214" Type="http://schemas.openxmlformats.org/officeDocument/2006/relationships/image" Target="../media/image214.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74" Type="http://schemas.openxmlformats.org/officeDocument/2006/relationships/image" Target="../media/image174.png"/><Relationship Id="rId179" Type="http://schemas.openxmlformats.org/officeDocument/2006/relationships/image" Target="../media/image179.png"/><Relationship Id="rId195" Type="http://schemas.openxmlformats.org/officeDocument/2006/relationships/image" Target="../media/image195.png"/><Relationship Id="rId209" Type="http://schemas.openxmlformats.org/officeDocument/2006/relationships/image" Target="../media/image209.png"/><Relationship Id="rId190" Type="http://schemas.openxmlformats.org/officeDocument/2006/relationships/image" Target="../media/image190.png"/><Relationship Id="rId204" Type="http://schemas.openxmlformats.org/officeDocument/2006/relationships/image" Target="../media/image204.png"/><Relationship Id="rId220" Type="http://schemas.openxmlformats.org/officeDocument/2006/relationships/image" Target="../media/image220.png"/><Relationship Id="rId225" Type="http://schemas.openxmlformats.org/officeDocument/2006/relationships/image" Target="../media/image225.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164" Type="http://schemas.openxmlformats.org/officeDocument/2006/relationships/image" Target="../media/image164.png"/><Relationship Id="rId169" Type="http://schemas.openxmlformats.org/officeDocument/2006/relationships/image" Target="../media/image169.png"/><Relationship Id="rId185" Type="http://schemas.openxmlformats.org/officeDocument/2006/relationships/image" Target="../media/image185.png"/><Relationship Id="rId4" Type="http://schemas.openxmlformats.org/officeDocument/2006/relationships/image" Target="../media/image4.png"/><Relationship Id="rId9" Type="http://schemas.openxmlformats.org/officeDocument/2006/relationships/image" Target="../media/image9.png"/><Relationship Id="rId180" Type="http://schemas.openxmlformats.org/officeDocument/2006/relationships/image" Target="../media/image180.png"/><Relationship Id="rId210" Type="http://schemas.openxmlformats.org/officeDocument/2006/relationships/image" Target="../media/image210.png"/><Relationship Id="rId215" Type="http://schemas.openxmlformats.org/officeDocument/2006/relationships/image" Target="../media/image215.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75" Type="http://schemas.openxmlformats.org/officeDocument/2006/relationships/image" Target="../media/image175.png"/><Relationship Id="rId196" Type="http://schemas.openxmlformats.org/officeDocument/2006/relationships/image" Target="../media/image196.png"/><Relationship Id="rId200" Type="http://schemas.openxmlformats.org/officeDocument/2006/relationships/image" Target="../media/image200.png"/><Relationship Id="rId16" Type="http://schemas.openxmlformats.org/officeDocument/2006/relationships/image" Target="../media/image16.png"/><Relationship Id="rId221" Type="http://schemas.openxmlformats.org/officeDocument/2006/relationships/image" Target="../media/image221.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186" Type="http://schemas.openxmlformats.org/officeDocument/2006/relationships/image" Target="../media/image186.png"/><Relationship Id="rId211" Type="http://schemas.openxmlformats.org/officeDocument/2006/relationships/image" Target="../media/image211.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6" Type="http://schemas.openxmlformats.org/officeDocument/2006/relationships/image" Target="../media/image176.png"/><Relationship Id="rId197" Type="http://schemas.openxmlformats.org/officeDocument/2006/relationships/image" Target="../media/image197.png"/><Relationship Id="rId201" Type="http://schemas.openxmlformats.org/officeDocument/2006/relationships/image" Target="../media/image201.png"/><Relationship Id="rId222" Type="http://schemas.openxmlformats.org/officeDocument/2006/relationships/image" Target="../media/image222.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 Id="rId187" Type="http://schemas.openxmlformats.org/officeDocument/2006/relationships/image" Target="../media/image187.png"/><Relationship Id="rId1" Type="http://schemas.openxmlformats.org/officeDocument/2006/relationships/image" Target="../media/image1.png"/><Relationship Id="rId212" Type="http://schemas.openxmlformats.org/officeDocument/2006/relationships/image" Target="../media/image212.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60" Type="http://schemas.openxmlformats.org/officeDocument/2006/relationships/image" Target="../media/image60.png"/><Relationship Id="rId81" Type="http://schemas.openxmlformats.org/officeDocument/2006/relationships/image" Target="../media/image81.png"/><Relationship Id="rId135" Type="http://schemas.openxmlformats.org/officeDocument/2006/relationships/image" Target="../media/image135.png"/><Relationship Id="rId156" Type="http://schemas.openxmlformats.org/officeDocument/2006/relationships/image" Target="../media/image156.png"/><Relationship Id="rId177" Type="http://schemas.openxmlformats.org/officeDocument/2006/relationships/image" Target="../media/image177.png"/><Relationship Id="rId198" Type="http://schemas.openxmlformats.org/officeDocument/2006/relationships/image" Target="../media/image198.png"/><Relationship Id="rId202" Type="http://schemas.openxmlformats.org/officeDocument/2006/relationships/image" Target="../media/image202.png"/><Relationship Id="rId223" Type="http://schemas.openxmlformats.org/officeDocument/2006/relationships/image" Target="../media/image223.png"/><Relationship Id="rId18" Type="http://schemas.openxmlformats.org/officeDocument/2006/relationships/image" Target="../media/image18.png"/><Relationship Id="rId39" Type="http://schemas.openxmlformats.org/officeDocument/2006/relationships/image" Target="../media/image39.png"/><Relationship Id="rId50" Type="http://schemas.openxmlformats.org/officeDocument/2006/relationships/image" Target="../media/image50.png"/><Relationship Id="rId104" Type="http://schemas.openxmlformats.org/officeDocument/2006/relationships/image" Target="../media/image104.png"/><Relationship Id="rId125" Type="http://schemas.openxmlformats.org/officeDocument/2006/relationships/image" Target="../media/image125.png"/><Relationship Id="rId146" Type="http://schemas.openxmlformats.org/officeDocument/2006/relationships/image" Target="../media/image146.png"/><Relationship Id="rId167" Type="http://schemas.openxmlformats.org/officeDocument/2006/relationships/image" Target="../media/image167.png"/><Relationship Id="rId188" Type="http://schemas.openxmlformats.org/officeDocument/2006/relationships/image" Target="../media/image188.png"/><Relationship Id="rId71" Type="http://schemas.openxmlformats.org/officeDocument/2006/relationships/image" Target="../media/image71.png"/><Relationship Id="rId92" Type="http://schemas.openxmlformats.org/officeDocument/2006/relationships/image" Target="../media/image92.png"/><Relationship Id="rId213" Type="http://schemas.openxmlformats.org/officeDocument/2006/relationships/image" Target="../media/image213.png"/><Relationship Id="rId2" Type="http://schemas.openxmlformats.org/officeDocument/2006/relationships/image" Target="../media/image2.png"/><Relationship Id="rId29" Type="http://schemas.openxmlformats.org/officeDocument/2006/relationships/image" Target="../media/image29.png"/><Relationship Id="rId40" Type="http://schemas.openxmlformats.org/officeDocument/2006/relationships/image" Target="../media/image40.png"/><Relationship Id="rId115" Type="http://schemas.openxmlformats.org/officeDocument/2006/relationships/image" Target="../media/image115.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61" Type="http://schemas.openxmlformats.org/officeDocument/2006/relationships/image" Target="../media/image61.png"/><Relationship Id="rId82" Type="http://schemas.openxmlformats.org/officeDocument/2006/relationships/image" Target="../media/image82.png"/><Relationship Id="rId199" Type="http://schemas.openxmlformats.org/officeDocument/2006/relationships/image" Target="../media/image199.png"/><Relationship Id="rId203" Type="http://schemas.openxmlformats.org/officeDocument/2006/relationships/image" Target="../media/image203.png"/><Relationship Id="rId19" Type="http://schemas.openxmlformats.org/officeDocument/2006/relationships/image" Target="../media/image19.png"/><Relationship Id="rId224" Type="http://schemas.openxmlformats.org/officeDocument/2006/relationships/image" Target="../media/image224.png"/><Relationship Id="rId30" Type="http://schemas.openxmlformats.org/officeDocument/2006/relationships/image" Target="../media/image3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189" Type="http://schemas.openxmlformats.org/officeDocument/2006/relationships/image" Target="../media/image189.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190440</xdr:rowOff>
    </xdr:from>
    <xdr:to>
      <xdr:col>7</xdr:col>
      <xdr:colOff>418320</xdr:colOff>
      <xdr:row>14</xdr:row>
      <xdr:rowOff>286560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6883560" y="380880"/>
          <a:ext cx="418320" cy="439200"/>
        </a:xfrm>
        <a:prstGeom prst="rect">
          <a:avLst/>
        </a:prstGeom>
        <a:ln w="0">
          <a:noFill/>
        </a:ln>
      </xdr:spPr>
    </xdr:pic>
    <xdr:clientData/>
  </xdr:twoCellAnchor>
  <xdr:twoCellAnchor editAs="oneCell">
    <xdr:from>
      <xdr:col>7</xdr:col>
      <xdr:colOff>0</xdr:colOff>
      <xdr:row>2</xdr:row>
      <xdr:rowOff>325440</xdr:rowOff>
    </xdr:from>
    <xdr:to>
      <xdr:col>7</xdr:col>
      <xdr:colOff>418320</xdr:colOff>
      <xdr:row>14</xdr:row>
      <xdr:rowOff>418350</xdr:rowOff>
    </xdr:to>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a:stretch/>
      </xdr:blipFill>
      <xdr:spPr>
        <a:xfrm>
          <a:off x="6883560" y="858960"/>
          <a:ext cx="418320" cy="418320"/>
        </a:xfrm>
        <a:prstGeom prst="rect">
          <a:avLst/>
        </a:prstGeom>
        <a:ln w="0">
          <a:noFill/>
        </a:ln>
      </xdr:spPr>
    </xdr:pic>
    <xdr:clientData/>
  </xdr:twoCellAnchor>
  <xdr:twoCellAnchor editAs="oneCell">
    <xdr:from>
      <xdr:col>7</xdr:col>
      <xdr:colOff>0</xdr:colOff>
      <xdr:row>3</xdr:row>
      <xdr:rowOff>325800</xdr:rowOff>
    </xdr:from>
    <xdr:to>
      <xdr:col>7</xdr:col>
      <xdr:colOff>418320</xdr:colOff>
      <xdr:row>14</xdr:row>
      <xdr:rowOff>418350</xdr:rowOff>
    </xdr:to>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a:stretch/>
      </xdr:blipFill>
      <xdr:spPr>
        <a:xfrm>
          <a:off x="6883560" y="1297440"/>
          <a:ext cx="418320" cy="418320"/>
        </a:xfrm>
        <a:prstGeom prst="rect">
          <a:avLst/>
        </a:prstGeom>
        <a:ln w="0">
          <a:noFill/>
        </a:ln>
      </xdr:spPr>
    </xdr:pic>
    <xdr:clientData/>
  </xdr:twoCellAnchor>
  <xdr:twoCellAnchor editAs="oneCell">
    <xdr:from>
      <xdr:col>7</xdr:col>
      <xdr:colOff>0</xdr:colOff>
      <xdr:row>4</xdr:row>
      <xdr:rowOff>325800</xdr:rowOff>
    </xdr:from>
    <xdr:to>
      <xdr:col>7</xdr:col>
      <xdr:colOff>418320</xdr:colOff>
      <xdr:row>14</xdr:row>
      <xdr:rowOff>418350</xdr:rowOff>
    </xdr:to>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a:stretch/>
      </xdr:blipFill>
      <xdr:spPr>
        <a:xfrm>
          <a:off x="6883560" y="1735560"/>
          <a:ext cx="418320" cy="418320"/>
        </a:xfrm>
        <a:prstGeom prst="rect">
          <a:avLst/>
        </a:prstGeom>
        <a:ln w="0">
          <a:noFill/>
        </a:ln>
      </xdr:spPr>
    </xdr:pic>
    <xdr:clientData/>
  </xdr:twoCellAnchor>
  <xdr:twoCellAnchor editAs="oneCell">
    <xdr:from>
      <xdr:col>7</xdr:col>
      <xdr:colOff>0</xdr:colOff>
      <xdr:row>5</xdr:row>
      <xdr:rowOff>325800</xdr:rowOff>
    </xdr:from>
    <xdr:to>
      <xdr:col>7</xdr:col>
      <xdr:colOff>418320</xdr:colOff>
      <xdr:row>14</xdr:row>
      <xdr:rowOff>418350</xdr:rowOff>
    </xdr:to>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a:stretch/>
      </xdr:blipFill>
      <xdr:spPr>
        <a:xfrm>
          <a:off x="6883560" y="2173680"/>
          <a:ext cx="418320" cy="418320"/>
        </a:xfrm>
        <a:prstGeom prst="rect">
          <a:avLst/>
        </a:prstGeom>
        <a:ln w="0">
          <a:noFill/>
        </a:ln>
      </xdr:spPr>
    </xdr:pic>
    <xdr:clientData/>
  </xdr:twoCellAnchor>
  <xdr:twoCellAnchor editAs="oneCell">
    <xdr:from>
      <xdr:col>7</xdr:col>
      <xdr:colOff>0</xdr:colOff>
      <xdr:row>6</xdr:row>
      <xdr:rowOff>325800</xdr:rowOff>
    </xdr:from>
    <xdr:to>
      <xdr:col>7</xdr:col>
      <xdr:colOff>418320</xdr:colOff>
      <xdr:row>14</xdr:row>
      <xdr:rowOff>418350</xdr:rowOff>
    </xdr:to>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a:stretch/>
      </xdr:blipFill>
      <xdr:spPr>
        <a:xfrm>
          <a:off x="6883560" y="2611800"/>
          <a:ext cx="418320" cy="418320"/>
        </a:xfrm>
        <a:prstGeom prst="rect">
          <a:avLst/>
        </a:prstGeom>
        <a:ln w="0">
          <a:noFill/>
        </a:ln>
      </xdr:spPr>
    </xdr:pic>
    <xdr:clientData/>
  </xdr:twoCellAnchor>
  <xdr:twoCellAnchor editAs="oneCell">
    <xdr:from>
      <xdr:col>7</xdr:col>
      <xdr:colOff>0</xdr:colOff>
      <xdr:row>7</xdr:row>
      <xdr:rowOff>325800</xdr:rowOff>
    </xdr:from>
    <xdr:to>
      <xdr:col>7</xdr:col>
      <xdr:colOff>418320</xdr:colOff>
      <xdr:row>14</xdr:row>
      <xdr:rowOff>418350</xdr:rowOff>
    </xdr:to>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a:stretch/>
      </xdr:blipFill>
      <xdr:spPr>
        <a:xfrm>
          <a:off x="6883560" y="3049920"/>
          <a:ext cx="418320" cy="418320"/>
        </a:xfrm>
        <a:prstGeom prst="rect">
          <a:avLst/>
        </a:prstGeom>
        <a:ln w="0">
          <a:noFill/>
        </a:ln>
      </xdr:spPr>
    </xdr:pic>
    <xdr:clientData/>
  </xdr:twoCellAnchor>
  <xdr:twoCellAnchor editAs="oneCell">
    <xdr:from>
      <xdr:col>7</xdr:col>
      <xdr:colOff>0</xdr:colOff>
      <xdr:row>8</xdr:row>
      <xdr:rowOff>325800</xdr:rowOff>
    </xdr:from>
    <xdr:to>
      <xdr:col>7</xdr:col>
      <xdr:colOff>418320</xdr:colOff>
      <xdr:row>14</xdr:row>
      <xdr:rowOff>418350</xdr:rowOff>
    </xdr:to>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8"/>
        <a:stretch/>
      </xdr:blipFill>
      <xdr:spPr>
        <a:xfrm>
          <a:off x="6883560" y="3488040"/>
          <a:ext cx="418320" cy="418320"/>
        </a:xfrm>
        <a:prstGeom prst="rect">
          <a:avLst/>
        </a:prstGeom>
        <a:ln w="0">
          <a:noFill/>
        </a:ln>
      </xdr:spPr>
    </xdr:pic>
    <xdr:clientData/>
  </xdr:twoCellAnchor>
  <xdr:twoCellAnchor editAs="oneCell">
    <xdr:from>
      <xdr:col>7</xdr:col>
      <xdr:colOff>0</xdr:colOff>
      <xdr:row>9</xdr:row>
      <xdr:rowOff>325800</xdr:rowOff>
    </xdr:from>
    <xdr:to>
      <xdr:col>7</xdr:col>
      <xdr:colOff>418320</xdr:colOff>
      <xdr:row>14</xdr:row>
      <xdr:rowOff>418350</xdr:rowOff>
    </xdr:to>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9"/>
        <a:stretch/>
      </xdr:blipFill>
      <xdr:spPr>
        <a:xfrm>
          <a:off x="6883560" y="3926160"/>
          <a:ext cx="418320" cy="418320"/>
        </a:xfrm>
        <a:prstGeom prst="rect">
          <a:avLst/>
        </a:prstGeom>
        <a:ln w="0">
          <a:noFill/>
        </a:ln>
      </xdr:spPr>
    </xdr:pic>
    <xdr:clientData/>
  </xdr:twoCellAnchor>
  <xdr:twoCellAnchor editAs="oneCell">
    <xdr:from>
      <xdr:col>7</xdr:col>
      <xdr:colOff>0</xdr:colOff>
      <xdr:row>10</xdr:row>
      <xdr:rowOff>325800</xdr:rowOff>
    </xdr:from>
    <xdr:to>
      <xdr:col>7</xdr:col>
      <xdr:colOff>418320</xdr:colOff>
      <xdr:row>14</xdr:row>
      <xdr:rowOff>418350</xdr:rowOff>
    </xdr:to>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10"/>
        <a:stretch/>
      </xdr:blipFill>
      <xdr:spPr>
        <a:xfrm>
          <a:off x="6883560" y="4364280"/>
          <a:ext cx="418320" cy="418320"/>
        </a:xfrm>
        <a:prstGeom prst="rect">
          <a:avLst/>
        </a:prstGeom>
        <a:ln w="0">
          <a:noFill/>
        </a:ln>
      </xdr:spPr>
    </xdr:pic>
    <xdr:clientData/>
  </xdr:twoCellAnchor>
  <xdr:twoCellAnchor editAs="oneCell">
    <xdr:from>
      <xdr:col>7</xdr:col>
      <xdr:colOff>0</xdr:colOff>
      <xdr:row>11</xdr:row>
      <xdr:rowOff>325800</xdr:rowOff>
    </xdr:from>
    <xdr:to>
      <xdr:col>7</xdr:col>
      <xdr:colOff>418320</xdr:colOff>
      <xdr:row>14</xdr:row>
      <xdr:rowOff>418350</xdr:rowOff>
    </xdr:to>
    <xdr:pic>
      <xdr:nvPicPr>
        <xdr:cNvPr id="12" name="Image 11" descr="Picture">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11"/>
        <a:stretch/>
      </xdr:blipFill>
      <xdr:spPr>
        <a:xfrm>
          <a:off x="6883560" y="4802400"/>
          <a:ext cx="418320" cy="418680"/>
        </a:xfrm>
        <a:prstGeom prst="rect">
          <a:avLst/>
        </a:prstGeom>
        <a:ln w="0">
          <a:noFill/>
        </a:ln>
      </xdr:spPr>
    </xdr:pic>
    <xdr:clientData/>
  </xdr:twoCellAnchor>
  <xdr:twoCellAnchor editAs="oneCell">
    <xdr:from>
      <xdr:col>7</xdr:col>
      <xdr:colOff>0</xdr:colOff>
      <xdr:row>12</xdr:row>
      <xdr:rowOff>325800</xdr:rowOff>
    </xdr:from>
    <xdr:to>
      <xdr:col>7</xdr:col>
      <xdr:colOff>418320</xdr:colOff>
      <xdr:row>14</xdr:row>
      <xdr:rowOff>418350</xdr:rowOff>
    </xdr:to>
    <xdr:pic>
      <xdr:nvPicPr>
        <xdr:cNvPr id="13" name="Image 12" descr="Picture">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2"/>
        <a:stretch/>
      </xdr:blipFill>
      <xdr:spPr>
        <a:xfrm>
          <a:off x="6883560" y="5240880"/>
          <a:ext cx="418320" cy="418320"/>
        </a:xfrm>
        <a:prstGeom prst="rect">
          <a:avLst/>
        </a:prstGeom>
        <a:ln w="0">
          <a:noFill/>
        </a:ln>
      </xdr:spPr>
    </xdr:pic>
    <xdr:clientData/>
  </xdr:twoCellAnchor>
  <xdr:twoCellAnchor editAs="oneCell">
    <xdr:from>
      <xdr:col>7</xdr:col>
      <xdr:colOff>0</xdr:colOff>
      <xdr:row>13</xdr:row>
      <xdr:rowOff>325800</xdr:rowOff>
    </xdr:from>
    <xdr:to>
      <xdr:col>7</xdr:col>
      <xdr:colOff>418320</xdr:colOff>
      <xdr:row>14</xdr:row>
      <xdr:rowOff>417990</xdr:rowOff>
    </xdr:to>
    <xdr:pic>
      <xdr:nvPicPr>
        <xdr:cNvPr id="14" name="Image 13" descr="Picture">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3"/>
        <a:stretch/>
      </xdr:blipFill>
      <xdr:spPr>
        <a:xfrm>
          <a:off x="6883560" y="5679000"/>
          <a:ext cx="418320" cy="417960"/>
        </a:xfrm>
        <a:prstGeom prst="rect">
          <a:avLst/>
        </a:prstGeom>
        <a:ln w="0">
          <a:noFill/>
        </a:ln>
      </xdr:spPr>
    </xdr:pic>
    <xdr:clientData/>
  </xdr:twoCellAnchor>
  <xdr:twoCellAnchor editAs="oneCell">
    <xdr:from>
      <xdr:col>7</xdr:col>
      <xdr:colOff>0</xdr:colOff>
      <xdr:row>14</xdr:row>
      <xdr:rowOff>325440</xdr:rowOff>
    </xdr:from>
    <xdr:to>
      <xdr:col>7</xdr:col>
      <xdr:colOff>418320</xdr:colOff>
      <xdr:row>17</xdr:row>
      <xdr:rowOff>305640</xdr:rowOff>
    </xdr:to>
    <xdr:pic>
      <xdr:nvPicPr>
        <xdr:cNvPr id="15" name="Image 14" descr="Picture">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4"/>
        <a:stretch/>
      </xdr:blipFill>
      <xdr:spPr>
        <a:xfrm>
          <a:off x="6883560" y="6116760"/>
          <a:ext cx="418320" cy="418320"/>
        </a:xfrm>
        <a:prstGeom prst="rect">
          <a:avLst/>
        </a:prstGeom>
        <a:ln w="0">
          <a:noFill/>
        </a:ln>
      </xdr:spPr>
    </xdr:pic>
    <xdr:clientData/>
  </xdr:twoCellAnchor>
  <xdr:twoCellAnchor editAs="oneCell">
    <xdr:from>
      <xdr:col>7</xdr:col>
      <xdr:colOff>0</xdr:colOff>
      <xdr:row>15</xdr:row>
      <xdr:rowOff>325800</xdr:rowOff>
    </xdr:from>
    <xdr:to>
      <xdr:col>7</xdr:col>
      <xdr:colOff>418320</xdr:colOff>
      <xdr:row>17</xdr:row>
      <xdr:rowOff>418350</xdr:rowOff>
    </xdr:to>
    <xdr:pic>
      <xdr:nvPicPr>
        <xdr:cNvPr id="16" name="Image 15" descr="Picture">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5"/>
        <a:stretch/>
      </xdr:blipFill>
      <xdr:spPr>
        <a:xfrm>
          <a:off x="6883560" y="6555240"/>
          <a:ext cx="418320" cy="418320"/>
        </a:xfrm>
        <a:prstGeom prst="rect">
          <a:avLst/>
        </a:prstGeom>
        <a:ln w="0">
          <a:noFill/>
        </a:ln>
      </xdr:spPr>
    </xdr:pic>
    <xdr:clientData/>
  </xdr:twoCellAnchor>
  <xdr:twoCellAnchor editAs="oneCell">
    <xdr:from>
      <xdr:col>7</xdr:col>
      <xdr:colOff>0</xdr:colOff>
      <xdr:row>16</xdr:row>
      <xdr:rowOff>325800</xdr:rowOff>
    </xdr:from>
    <xdr:to>
      <xdr:col>7</xdr:col>
      <xdr:colOff>418320</xdr:colOff>
      <xdr:row>17</xdr:row>
      <xdr:rowOff>418350</xdr:rowOff>
    </xdr:to>
    <xdr:pic>
      <xdr:nvPicPr>
        <xdr:cNvPr id="17" name="Image 16" descr="Picture">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6"/>
        <a:stretch/>
      </xdr:blipFill>
      <xdr:spPr>
        <a:xfrm>
          <a:off x="6883560" y="6993360"/>
          <a:ext cx="418320" cy="418320"/>
        </a:xfrm>
        <a:prstGeom prst="rect">
          <a:avLst/>
        </a:prstGeom>
        <a:ln w="0">
          <a:noFill/>
        </a:ln>
      </xdr:spPr>
    </xdr:pic>
    <xdr:clientData/>
  </xdr:twoCellAnchor>
  <xdr:twoCellAnchor editAs="oneCell">
    <xdr:from>
      <xdr:col>7</xdr:col>
      <xdr:colOff>0</xdr:colOff>
      <xdr:row>17</xdr:row>
      <xdr:rowOff>325800</xdr:rowOff>
    </xdr:from>
    <xdr:to>
      <xdr:col>7</xdr:col>
      <xdr:colOff>418320</xdr:colOff>
      <xdr:row>18</xdr:row>
      <xdr:rowOff>306000</xdr:rowOff>
    </xdr:to>
    <xdr:pic>
      <xdr:nvPicPr>
        <xdr:cNvPr id="18" name="Image 17" descr="Picture">
          <a:extLst>
            <a:ext uri="{FF2B5EF4-FFF2-40B4-BE49-F238E27FC236}">
              <a16:creationId xmlns:a16="http://schemas.microsoft.com/office/drawing/2014/main" id="{00000000-0008-0000-0100-000012000000}"/>
            </a:ext>
          </a:extLst>
        </xdr:cNvPr>
        <xdr:cNvPicPr/>
      </xdr:nvPicPr>
      <xdr:blipFill>
        <a:blip xmlns:r="http://schemas.openxmlformats.org/officeDocument/2006/relationships" r:embed="rId17"/>
        <a:stretch/>
      </xdr:blipFill>
      <xdr:spPr>
        <a:xfrm>
          <a:off x="6883560" y="7431480"/>
          <a:ext cx="418320" cy="418320"/>
        </a:xfrm>
        <a:prstGeom prst="rect">
          <a:avLst/>
        </a:prstGeom>
        <a:ln w="0">
          <a:noFill/>
        </a:ln>
      </xdr:spPr>
    </xdr:pic>
    <xdr:clientData/>
  </xdr:twoCellAnchor>
  <xdr:twoCellAnchor editAs="oneCell">
    <xdr:from>
      <xdr:col>7</xdr:col>
      <xdr:colOff>0</xdr:colOff>
      <xdr:row>18</xdr:row>
      <xdr:rowOff>325800</xdr:rowOff>
    </xdr:from>
    <xdr:to>
      <xdr:col>7</xdr:col>
      <xdr:colOff>418320</xdr:colOff>
      <xdr:row>19</xdr:row>
      <xdr:rowOff>306000</xdr:rowOff>
    </xdr:to>
    <xdr:pic>
      <xdr:nvPicPr>
        <xdr:cNvPr id="19" name="Image 18" descr="Picture">
          <a:extLst>
            <a:ext uri="{FF2B5EF4-FFF2-40B4-BE49-F238E27FC236}">
              <a16:creationId xmlns:a16="http://schemas.microsoft.com/office/drawing/2014/main" id="{00000000-0008-0000-0100-000013000000}"/>
            </a:ext>
          </a:extLst>
        </xdr:cNvPr>
        <xdr:cNvPicPr/>
      </xdr:nvPicPr>
      <xdr:blipFill>
        <a:blip xmlns:r="http://schemas.openxmlformats.org/officeDocument/2006/relationships" r:embed="rId18"/>
        <a:stretch/>
      </xdr:blipFill>
      <xdr:spPr>
        <a:xfrm>
          <a:off x="6883560" y="7869600"/>
          <a:ext cx="418320" cy="418320"/>
        </a:xfrm>
        <a:prstGeom prst="rect">
          <a:avLst/>
        </a:prstGeom>
        <a:ln w="0">
          <a:noFill/>
        </a:ln>
      </xdr:spPr>
    </xdr:pic>
    <xdr:clientData/>
  </xdr:twoCellAnchor>
  <xdr:twoCellAnchor editAs="oneCell">
    <xdr:from>
      <xdr:col>7</xdr:col>
      <xdr:colOff>0</xdr:colOff>
      <xdr:row>19</xdr:row>
      <xdr:rowOff>325800</xdr:rowOff>
    </xdr:from>
    <xdr:to>
      <xdr:col>7</xdr:col>
      <xdr:colOff>418320</xdr:colOff>
      <xdr:row>21</xdr:row>
      <xdr:rowOff>306000</xdr:rowOff>
    </xdr:to>
    <xdr:pic>
      <xdr:nvPicPr>
        <xdr:cNvPr id="20" name="Image 19" descr="Picture">
          <a:extLst>
            <a:ext uri="{FF2B5EF4-FFF2-40B4-BE49-F238E27FC236}">
              <a16:creationId xmlns:a16="http://schemas.microsoft.com/office/drawing/2014/main" id="{00000000-0008-0000-0100-000014000000}"/>
            </a:ext>
          </a:extLst>
        </xdr:cNvPr>
        <xdr:cNvPicPr/>
      </xdr:nvPicPr>
      <xdr:blipFill>
        <a:blip xmlns:r="http://schemas.openxmlformats.org/officeDocument/2006/relationships" r:embed="rId19"/>
        <a:stretch/>
      </xdr:blipFill>
      <xdr:spPr>
        <a:xfrm>
          <a:off x="6883560" y="8307720"/>
          <a:ext cx="418320" cy="418320"/>
        </a:xfrm>
        <a:prstGeom prst="rect">
          <a:avLst/>
        </a:prstGeom>
        <a:ln w="0">
          <a:noFill/>
        </a:ln>
      </xdr:spPr>
    </xdr:pic>
    <xdr:clientData/>
  </xdr:twoCellAnchor>
  <xdr:twoCellAnchor editAs="oneCell">
    <xdr:from>
      <xdr:col>7</xdr:col>
      <xdr:colOff>0</xdr:colOff>
      <xdr:row>20</xdr:row>
      <xdr:rowOff>325800</xdr:rowOff>
    </xdr:from>
    <xdr:to>
      <xdr:col>7</xdr:col>
      <xdr:colOff>418320</xdr:colOff>
      <xdr:row>21</xdr:row>
      <xdr:rowOff>418350</xdr:rowOff>
    </xdr:to>
    <xdr:pic>
      <xdr:nvPicPr>
        <xdr:cNvPr id="21" name="Image 20" descr="Picture">
          <a:extLst>
            <a:ext uri="{FF2B5EF4-FFF2-40B4-BE49-F238E27FC236}">
              <a16:creationId xmlns:a16="http://schemas.microsoft.com/office/drawing/2014/main" id="{00000000-0008-0000-0100-000015000000}"/>
            </a:ext>
          </a:extLst>
        </xdr:cNvPr>
        <xdr:cNvPicPr/>
      </xdr:nvPicPr>
      <xdr:blipFill>
        <a:blip xmlns:r="http://schemas.openxmlformats.org/officeDocument/2006/relationships" r:embed="rId20"/>
        <a:stretch/>
      </xdr:blipFill>
      <xdr:spPr>
        <a:xfrm>
          <a:off x="6883560" y="8745840"/>
          <a:ext cx="418320" cy="418320"/>
        </a:xfrm>
        <a:prstGeom prst="rect">
          <a:avLst/>
        </a:prstGeom>
        <a:ln w="0">
          <a:noFill/>
        </a:ln>
      </xdr:spPr>
    </xdr:pic>
    <xdr:clientData/>
  </xdr:twoCellAnchor>
  <xdr:twoCellAnchor editAs="oneCell">
    <xdr:from>
      <xdr:col>7</xdr:col>
      <xdr:colOff>0</xdr:colOff>
      <xdr:row>21</xdr:row>
      <xdr:rowOff>325800</xdr:rowOff>
    </xdr:from>
    <xdr:to>
      <xdr:col>7</xdr:col>
      <xdr:colOff>418320</xdr:colOff>
      <xdr:row>22</xdr:row>
      <xdr:rowOff>306000</xdr:rowOff>
    </xdr:to>
    <xdr:pic>
      <xdr:nvPicPr>
        <xdr:cNvPr id="22" name="Image 21" descr="Picture">
          <a:extLst>
            <a:ext uri="{FF2B5EF4-FFF2-40B4-BE49-F238E27FC236}">
              <a16:creationId xmlns:a16="http://schemas.microsoft.com/office/drawing/2014/main" id="{00000000-0008-0000-0100-000016000000}"/>
            </a:ext>
          </a:extLst>
        </xdr:cNvPr>
        <xdr:cNvPicPr/>
      </xdr:nvPicPr>
      <xdr:blipFill>
        <a:blip xmlns:r="http://schemas.openxmlformats.org/officeDocument/2006/relationships" r:embed="rId21"/>
        <a:stretch/>
      </xdr:blipFill>
      <xdr:spPr>
        <a:xfrm>
          <a:off x="6883560" y="9183960"/>
          <a:ext cx="418320" cy="418320"/>
        </a:xfrm>
        <a:prstGeom prst="rect">
          <a:avLst/>
        </a:prstGeom>
        <a:ln w="0">
          <a:noFill/>
        </a:ln>
      </xdr:spPr>
    </xdr:pic>
    <xdr:clientData/>
  </xdr:twoCellAnchor>
  <xdr:twoCellAnchor editAs="oneCell">
    <xdr:from>
      <xdr:col>7</xdr:col>
      <xdr:colOff>0</xdr:colOff>
      <xdr:row>22</xdr:row>
      <xdr:rowOff>325800</xdr:rowOff>
    </xdr:from>
    <xdr:to>
      <xdr:col>7</xdr:col>
      <xdr:colOff>418320</xdr:colOff>
      <xdr:row>24</xdr:row>
      <xdr:rowOff>306000</xdr:rowOff>
    </xdr:to>
    <xdr:pic>
      <xdr:nvPicPr>
        <xdr:cNvPr id="23" name="Image 22" descr="Picture">
          <a:extLst>
            <a:ext uri="{FF2B5EF4-FFF2-40B4-BE49-F238E27FC236}">
              <a16:creationId xmlns:a16="http://schemas.microsoft.com/office/drawing/2014/main" id="{00000000-0008-0000-0100-000017000000}"/>
            </a:ext>
          </a:extLst>
        </xdr:cNvPr>
        <xdr:cNvPicPr/>
      </xdr:nvPicPr>
      <xdr:blipFill>
        <a:blip xmlns:r="http://schemas.openxmlformats.org/officeDocument/2006/relationships" r:embed="rId22"/>
        <a:stretch/>
      </xdr:blipFill>
      <xdr:spPr>
        <a:xfrm>
          <a:off x="6883560" y="9622080"/>
          <a:ext cx="418320" cy="418320"/>
        </a:xfrm>
        <a:prstGeom prst="rect">
          <a:avLst/>
        </a:prstGeom>
        <a:ln w="0">
          <a:noFill/>
        </a:ln>
      </xdr:spPr>
    </xdr:pic>
    <xdr:clientData/>
  </xdr:twoCellAnchor>
  <xdr:twoCellAnchor editAs="oneCell">
    <xdr:from>
      <xdr:col>7</xdr:col>
      <xdr:colOff>0</xdr:colOff>
      <xdr:row>23</xdr:row>
      <xdr:rowOff>325800</xdr:rowOff>
    </xdr:from>
    <xdr:to>
      <xdr:col>7</xdr:col>
      <xdr:colOff>418320</xdr:colOff>
      <xdr:row>24</xdr:row>
      <xdr:rowOff>418350</xdr:rowOff>
    </xdr:to>
    <xdr:pic>
      <xdr:nvPicPr>
        <xdr:cNvPr id="24" name="Image 23" descr="Picture">
          <a:extLst>
            <a:ext uri="{FF2B5EF4-FFF2-40B4-BE49-F238E27FC236}">
              <a16:creationId xmlns:a16="http://schemas.microsoft.com/office/drawing/2014/main" id="{00000000-0008-0000-0100-000018000000}"/>
            </a:ext>
          </a:extLst>
        </xdr:cNvPr>
        <xdr:cNvPicPr/>
      </xdr:nvPicPr>
      <xdr:blipFill>
        <a:blip xmlns:r="http://schemas.openxmlformats.org/officeDocument/2006/relationships" r:embed="rId23"/>
        <a:stretch/>
      </xdr:blipFill>
      <xdr:spPr>
        <a:xfrm>
          <a:off x="6883560" y="10060200"/>
          <a:ext cx="418320" cy="418680"/>
        </a:xfrm>
        <a:prstGeom prst="rect">
          <a:avLst/>
        </a:prstGeom>
        <a:ln w="0">
          <a:noFill/>
        </a:ln>
      </xdr:spPr>
    </xdr:pic>
    <xdr:clientData/>
  </xdr:twoCellAnchor>
  <xdr:twoCellAnchor editAs="oneCell">
    <xdr:from>
      <xdr:col>7</xdr:col>
      <xdr:colOff>0</xdr:colOff>
      <xdr:row>24</xdr:row>
      <xdr:rowOff>325800</xdr:rowOff>
    </xdr:from>
    <xdr:to>
      <xdr:col>7</xdr:col>
      <xdr:colOff>418320</xdr:colOff>
      <xdr:row>28</xdr:row>
      <xdr:rowOff>306000</xdr:rowOff>
    </xdr:to>
    <xdr:pic>
      <xdr:nvPicPr>
        <xdr:cNvPr id="25" name="Image 24" descr="Picture">
          <a:extLst>
            <a:ext uri="{FF2B5EF4-FFF2-40B4-BE49-F238E27FC236}">
              <a16:creationId xmlns:a16="http://schemas.microsoft.com/office/drawing/2014/main" id="{00000000-0008-0000-0100-000019000000}"/>
            </a:ext>
          </a:extLst>
        </xdr:cNvPr>
        <xdr:cNvPicPr/>
      </xdr:nvPicPr>
      <xdr:blipFill>
        <a:blip xmlns:r="http://schemas.openxmlformats.org/officeDocument/2006/relationships" r:embed="rId24"/>
        <a:stretch/>
      </xdr:blipFill>
      <xdr:spPr>
        <a:xfrm>
          <a:off x="6883560" y="10498680"/>
          <a:ext cx="418320" cy="418320"/>
        </a:xfrm>
        <a:prstGeom prst="rect">
          <a:avLst/>
        </a:prstGeom>
        <a:ln w="0">
          <a:noFill/>
        </a:ln>
      </xdr:spPr>
    </xdr:pic>
    <xdr:clientData/>
  </xdr:twoCellAnchor>
  <xdr:twoCellAnchor editAs="oneCell">
    <xdr:from>
      <xdr:col>7</xdr:col>
      <xdr:colOff>0</xdr:colOff>
      <xdr:row>25</xdr:row>
      <xdr:rowOff>325800</xdr:rowOff>
    </xdr:from>
    <xdr:to>
      <xdr:col>7</xdr:col>
      <xdr:colOff>418320</xdr:colOff>
      <xdr:row>28</xdr:row>
      <xdr:rowOff>417990</xdr:rowOff>
    </xdr:to>
    <xdr:pic>
      <xdr:nvPicPr>
        <xdr:cNvPr id="26" name="Image 25" descr="Picture">
          <a:extLst>
            <a:ext uri="{FF2B5EF4-FFF2-40B4-BE49-F238E27FC236}">
              <a16:creationId xmlns:a16="http://schemas.microsoft.com/office/drawing/2014/main" id="{00000000-0008-0000-0100-00001A000000}"/>
            </a:ext>
          </a:extLst>
        </xdr:cNvPr>
        <xdr:cNvPicPr/>
      </xdr:nvPicPr>
      <xdr:blipFill>
        <a:blip xmlns:r="http://schemas.openxmlformats.org/officeDocument/2006/relationships" r:embed="rId25"/>
        <a:stretch/>
      </xdr:blipFill>
      <xdr:spPr>
        <a:xfrm>
          <a:off x="6883560" y="10936800"/>
          <a:ext cx="418320" cy="417960"/>
        </a:xfrm>
        <a:prstGeom prst="rect">
          <a:avLst/>
        </a:prstGeom>
        <a:ln w="0">
          <a:noFill/>
        </a:ln>
      </xdr:spPr>
    </xdr:pic>
    <xdr:clientData/>
  </xdr:twoCellAnchor>
  <xdr:twoCellAnchor editAs="oneCell">
    <xdr:from>
      <xdr:col>7</xdr:col>
      <xdr:colOff>0</xdr:colOff>
      <xdr:row>26</xdr:row>
      <xdr:rowOff>325440</xdr:rowOff>
    </xdr:from>
    <xdr:to>
      <xdr:col>7</xdr:col>
      <xdr:colOff>418320</xdr:colOff>
      <xdr:row>28</xdr:row>
      <xdr:rowOff>418350</xdr:rowOff>
    </xdr:to>
    <xdr:pic>
      <xdr:nvPicPr>
        <xdr:cNvPr id="27" name="Image 26" descr="Picture">
          <a:extLst>
            <a:ext uri="{FF2B5EF4-FFF2-40B4-BE49-F238E27FC236}">
              <a16:creationId xmlns:a16="http://schemas.microsoft.com/office/drawing/2014/main" id="{00000000-0008-0000-0100-00001B000000}"/>
            </a:ext>
          </a:extLst>
        </xdr:cNvPr>
        <xdr:cNvPicPr/>
      </xdr:nvPicPr>
      <xdr:blipFill>
        <a:blip xmlns:r="http://schemas.openxmlformats.org/officeDocument/2006/relationships" r:embed="rId26"/>
        <a:stretch/>
      </xdr:blipFill>
      <xdr:spPr>
        <a:xfrm>
          <a:off x="6883560" y="11374560"/>
          <a:ext cx="418320" cy="418320"/>
        </a:xfrm>
        <a:prstGeom prst="rect">
          <a:avLst/>
        </a:prstGeom>
        <a:ln w="0">
          <a:noFill/>
        </a:ln>
      </xdr:spPr>
    </xdr:pic>
    <xdr:clientData/>
  </xdr:twoCellAnchor>
  <xdr:twoCellAnchor editAs="oneCell">
    <xdr:from>
      <xdr:col>7</xdr:col>
      <xdr:colOff>0</xdr:colOff>
      <xdr:row>27</xdr:row>
      <xdr:rowOff>325800</xdr:rowOff>
    </xdr:from>
    <xdr:to>
      <xdr:col>7</xdr:col>
      <xdr:colOff>418320</xdr:colOff>
      <xdr:row>28</xdr:row>
      <xdr:rowOff>418350</xdr:rowOff>
    </xdr:to>
    <xdr:pic>
      <xdr:nvPicPr>
        <xdr:cNvPr id="28" name="Image 27" descr="Picture">
          <a:extLst>
            <a:ext uri="{FF2B5EF4-FFF2-40B4-BE49-F238E27FC236}">
              <a16:creationId xmlns:a16="http://schemas.microsoft.com/office/drawing/2014/main" id="{00000000-0008-0000-0100-00001C000000}"/>
            </a:ext>
          </a:extLst>
        </xdr:cNvPr>
        <xdr:cNvPicPr/>
      </xdr:nvPicPr>
      <xdr:blipFill>
        <a:blip xmlns:r="http://schemas.openxmlformats.org/officeDocument/2006/relationships" r:embed="rId27"/>
        <a:stretch/>
      </xdr:blipFill>
      <xdr:spPr>
        <a:xfrm>
          <a:off x="6883560" y="11813040"/>
          <a:ext cx="418320" cy="418320"/>
        </a:xfrm>
        <a:prstGeom prst="rect">
          <a:avLst/>
        </a:prstGeom>
        <a:ln w="0">
          <a:noFill/>
        </a:ln>
      </xdr:spPr>
    </xdr:pic>
    <xdr:clientData/>
  </xdr:twoCellAnchor>
  <xdr:twoCellAnchor editAs="oneCell">
    <xdr:from>
      <xdr:col>7</xdr:col>
      <xdr:colOff>0</xdr:colOff>
      <xdr:row>28</xdr:row>
      <xdr:rowOff>325800</xdr:rowOff>
    </xdr:from>
    <xdr:to>
      <xdr:col>7</xdr:col>
      <xdr:colOff>418320</xdr:colOff>
      <xdr:row>48</xdr:row>
      <xdr:rowOff>306000</xdr:rowOff>
    </xdr:to>
    <xdr:pic>
      <xdr:nvPicPr>
        <xdr:cNvPr id="29" name="Image 28" descr="Picture">
          <a:extLst>
            <a:ext uri="{FF2B5EF4-FFF2-40B4-BE49-F238E27FC236}">
              <a16:creationId xmlns:a16="http://schemas.microsoft.com/office/drawing/2014/main" id="{00000000-0008-0000-0100-00001D000000}"/>
            </a:ext>
          </a:extLst>
        </xdr:cNvPr>
        <xdr:cNvPicPr/>
      </xdr:nvPicPr>
      <xdr:blipFill>
        <a:blip xmlns:r="http://schemas.openxmlformats.org/officeDocument/2006/relationships" r:embed="rId28"/>
        <a:stretch/>
      </xdr:blipFill>
      <xdr:spPr>
        <a:xfrm>
          <a:off x="6883560" y="12251160"/>
          <a:ext cx="418320" cy="418320"/>
        </a:xfrm>
        <a:prstGeom prst="rect">
          <a:avLst/>
        </a:prstGeom>
        <a:ln w="0">
          <a:noFill/>
        </a:ln>
      </xdr:spPr>
    </xdr:pic>
    <xdr:clientData/>
  </xdr:twoCellAnchor>
  <xdr:twoCellAnchor editAs="oneCell">
    <xdr:from>
      <xdr:col>7</xdr:col>
      <xdr:colOff>0</xdr:colOff>
      <xdr:row>29</xdr:row>
      <xdr:rowOff>325800</xdr:rowOff>
    </xdr:from>
    <xdr:to>
      <xdr:col>7</xdr:col>
      <xdr:colOff>418320</xdr:colOff>
      <xdr:row>48</xdr:row>
      <xdr:rowOff>418350</xdr:rowOff>
    </xdr:to>
    <xdr:pic>
      <xdr:nvPicPr>
        <xdr:cNvPr id="30" name="Image 29" descr="Picture">
          <a:extLst>
            <a:ext uri="{FF2B5EF4-FFF2-40B4-BE49-F238E27FC236}">
              <a16:creationId xmlns:a16="http://schemas.microsoft.com/office/drawing/2014/main" id="{00000000-0008-0000-0100-00001E000000}"/>
            </a:ext>
          </a:extLst>
        </xdr:cNvPr>
        <xdr:cNvPicPr/>
      </xdr:nvPicPr>
      <xdr:blipFill>
        <a:blip xmlns:r="http://schemas.openxmlformats.org/officeDocument/2006/relationships" r:embed="rId29"/>
        <a:stretch/>
      </xdr:blipFill>
      <xdr:spPr>
        <a:xfrm>
          <a:off x="6883560" y="12689280"/>
          <a:ext cx="418320" cy="418320"/>
        </a:xfrm>
        <a:prstGeom prst="rect">
          <a:avLst/>
        </a:prstGeom>
        <a:ln w="0">
          <a:noFill/>
        </a:ln>
      </xdr:spPr>
    </xdr:pic>
    <xdr:clientData/>
  </xdr:twoCellAnchor>
  <xdr:twoCellAnchor editAs="oneCell">
    <xdr:from>
      <xdr:col>7</xdr:col>
      <xdr:colOff>0</xdr:colOff>
      <xdr:row>30</xdr:row>
      <xdr:rowOff>325800</xdr:rowOff>
    </xdr:from>
    <xdr:to>
      <xdr:col>7</xdr:col>
      <xdr:colOff>418320</xdr:colOff>
      <xdr:row>48</xdr:row>
      <xdr:rowOff>418350</xdr:rowOff>
    </xdr:to>
    <xdr:pic>
      <xdr:nvPicPr>
        <xdr:cNvPr id="31" name="Image 30" descr="Picture">
          <a:extLst>
            <a:ext uri="{FF2B5EF4-FFF2-40B4-BE49-F238E27FC236}">
              <a16:creationId xmlns:a16="http://schemas.microsoft.com/office/drawing/2014/main" id="{00000000-0008-0000-0100-00001F000000}"/>
            </a:ext>
          </a:extLst>
        </xdr:cNvPr>
        <xdr:cNvPicPr/>
      </xdr:nvPicPr>
      <xdr:blipFill>
        <a:blip xmlns:r="http://schemas.openxmlformats.org/officeDocument/2006/relationships" r:embed="rId30"/>
        <a:stretch/>
      </xdr:blipFill>
      <xdr:spPr>
        <a:xfrm>
          <a:off x="6883560" y="13127400"/>
          <a:ext cx="418320" cy="418320"/>
        </a:xfrm>
        <a:prstGeom prst="rect">
          <a:avLst/>
        </a:prstGeom>
        <a:ln w="0">
          <a:noFill/>
        </a:ln>
      </xdr:spPr>
    </xdr:pic>
    <xdr:clientData/>
  </xdr:twoCellAnchor>
  <xdr:twoCellAnchor editAs="oneCell">
    <xdr:from>
      <xdr:col>7</xdr:col>
      <xdr:colOff>0</xdr:colOff>
      <xdr:row>31</xdr:row>
      <xdr:rowOff>325800</xdr:rowOff>
    </xdr:from>
    <xdr:to>
      <xdr:col>7</xdr:col>
      <xdr:colOff>418320</xdr:colOff>
      <xdr:row>48</xdr:row>
      <xdr:rowOff>418350</xdr:rowOff>
    </xdr:to>
    <xdr:pic>
      <xdr:nvPicPr>
        <xdr:cNvPr id="32" name="Image 31" descr="Picture">
          <a:extLst>
            <a:ext uri="{FF2B5EF4-FFF2-40B4-BE49-F238E27FC236}">
              <a16:creationId xmlns:a16="http://schemas.microsoft.com/office/drawing/2014/main" id="{00000000-0008-0000-0100-000020000000}"/>
            </a:ext>
          </a:extLst>
        </xdr:cNvPr>
        <xdr:cNvPicPr/>
      </xdr:nvPicPr>
      <xdr:blipFill>
        <a:blip xmlns:r="http://schemas.openxmlformats.org/officeDocument/2006/relationships" r:embed="rId31"/>
        <a:stretch/>
      </xdr:blipFill>
      <xdr:spPr>
        <a:xfrm>
          <a:off x="6883560" y="13565520"/>
          <a:ext cx="418320" cy="418320"/>
        </a:xfrm>
        <a:prstGeom prst="rect">
          <a:avLst/>
        </a:prstGeom>
        <a:ln w="0">
          <a:noFill/>
        </a:ln>
      </xdr:spPr>
    </xdr:pic>
    <xdr:clientData/>
  </xdr:twoCellAnchor>
  <xdr:twoCellAnchor editAs="oneCell">
    <xdr:from>
      <xdr:col>7</xdr:col>
      <xdr:colOff>0</xdr:colOff>
      <xdr:row>32</xdr:row>
      <xdr:rowOff>325800</xdr:rowOff>
    </xdr:from>
    <xdr:to>
      <xdr:col>7</xdr:col>
      <xdr:colOff>418320</xdr:colOff>
      <xdr:row>48</xdr:row>
      <xdr:rowOff>418350</xdr:rowOff>
    </xdr:to>
    <xdr:pic>
      <xdr:nvPicPr>
        <xdr:cNvPr id="33" name="Image 32" descr="Picture">
          <a:extLst>
            <a:ext uri="{FF2B5EF4-FFF2-40B4-BE49-F238E27FC236}">
              <a16:creationId xmlns:a16="http://schemas.microsoft.com/office/drawing/2014/main" id="{00000000-0008-0000-0100-000021000000}"/>
            </a:ext>
          </a:extLst>
        </xdr:cNvPr>
        <xdr:cNvPicPr/>
      </xdr:nvPicPr>
      <xdr:blipFill>
        <a:blip xmlns:r="http://schemas.openxmlformats.org/officeDocument/2006/relationships" r:embed="rId32"/>
        <a:stretch/>
      </xdr:blipFill>
      <xdr:spPr>
        <a:xfrm>
          <a:off x="6883560" y="14003640"/>
          <a:ext cx="418320" cy="418320"/>
        </a:xfrm>
        <a:prstGeom prst="rect">
          <a:avLst/>
        </a:prstGeom>
        <a:ln w="0">
          <a:noFill/>
        </a:ln>
      </xdr:spPr>
    </xdr:pic>
    <xdr:clientData/>
  </xdr:twoCellAnchor>
  <xdr:twoCellAnchor editAs="oneCell">
    <xdr:from>
      <xdr:col>7</xdr:col>
      <xdr:colOff>0</xdr:colOff>
      <xdr:row>33</xdr:row>
      <xdr:rowOff>325800</xdr:rowOff>
    </xdr:from>
    <xdr:to>
      <xdr:col>7</xdr:col>
      <xdr:colOff>418320</xdr:colOff>
      <xdr:row>48</xdr:row>
      <xdr:rowOff>418350</xdr:rowOff>
    </xdr:to>
    <xdr:pic>
      <xdr:nvPicPr>
        <xdr:cNvPr id="34" name="Image 33" descr="Picture">
          <a:extLst>
            <a:ext uri="{FF2B5EF4-FFF2-40B4-BE49-F238E27FC236}">
              <a16:creationId xmlns:a16="http://schemas.microsoft.com/office/drawing/2014/main" id="{00000000-0008-0000-0100-000022000000}"/>
            </a:ext>
          </a:extLst>
        </xdr:cNvPr>
        <xdr:cNvPicPr/>
      </xdr:nvPicPr>
      <xdr:blipFill>
        <a:blip xmlns:r="http://schemas.openxmlformats.org/officeDocument/2006/relationships" r:embed="rId33"/>
        <a:stretch/>
      </xdr:blipFill>
      <xdr:spPr>
        <a:xfrm>
          <a:off x="6883560" y="14441760"/>
          <a:ext cx="418320" cy="418320"/>
        </a:xfrm>
        <a:prstGeom prst="rect">
          <a:avLst/>
        </a:prstGeom>
        <a:ln w="0">
          <a:noFill/>
        </a:ln>
      </xdr:spPr>
    </xdr:pic>
    <xdr:clientData/>
  </xdr:twoCellAnchor>
  <xdr:twoCellAnchor editAs="oneCell">
    <xdr:from>
      <xdr:col>7</xdr:col>
      <xdr:colOff>0</xdr:colOff>
      <xdr:row>34</xdr:row>
      <xdr:rowOff>325800</xdr:rowOff>
    </xdr:from>
    <xdr:to>
      <xdr:col>7</xdr:col>
      <xdr:colOff>418320</xdr:colOff>
      <xdr:row>48</xdr:row>
      <xdr:rowOff>418350</xdr:rowOff>
    </xdr:to>
    <xdr:pic>
      <xdr:nvPicPr>
        <xdr:cNvPr id="35" name="Image 34" descr="Picture">
          <a:extLst>
            <a:ext uri="{FF2B5EF4-FFF2-40B4-BE49-F238E27FC236}">
              <a16:creationId xmlns:a16="http://schemas.microsoft.com/office/drawing/2014/main" id="{00000000-0008-0000-0100-000023000000}"/>
            </a:ext>
          </a:extLst>
        </xdr:cNvPr>
        <xdr:cNvPicPr/>
      </xdr:nvPicPr>
      <xdr:blipFill>
        <a:blip xmlns:r="http://schemas.openxmlformats.org/officeDocument/2006/relationships" r:embed="rId34"/>
        <a:stretch/>
      </xdr:blipFill>
      <xdr:spPr>
        <a:xfrm>
          <a:off x="6883560" y="14879880"/>
          <a:ext cx="418320" cy="418320"/>
        </a:xfrm>
        <a:prstGeom prst="rect">
          <a:avLst/>
        </a:prstGeom>
        <a:ln w="0">
          <a:noFill/>
        </a:ln>
      </xdr:spPr>
    </xdr:pic>
    <xdr:clientData/>
  </xdr:twoCellAnchor>
  <xdr:twoCellAnchor editAs="oneCell">
    <xdr:from>
      <xdr:col>7</xdr:col>
      <xdr:colOff>0</xdr:colOff>
      <xdr:row>35</xdr:row>
      <xdr:rowOff>325800</xdr:rowOff>
    </xdr:from>
    <xdr:to>
      <xdr:col>7</xdr:col>
      <xdr:colOff>418320</xdr:colOff>
      <xdr:row>48</xdr:row>
      <xdr:rowOff>418350</xdr:rowOff>
    </xdr:to>
    <xdr:pic>
      <xdr:nvPicPr>
        <xdr:cNvPr id="36" name="Image 35" descr="Picture">
          <a:extLst>
            <a:ext uri="{FF2B5EF4-FFF2-40B4-BE49-F238E27FC236}">
              <a16:creationId xmlns:a16="http://schemas.microsoft.com/office/drawing/2014/main" id="{00000000-0008-0000-0100-000024000000}"/>
            </a:ext>
          </a:extLst>
        </xdr:cNvPr>
        <xdr:cNvPicPr/>
      </xdr:nvPicPr>
      <xdr:blipFill>
        <a:blip xmlns:r="http://schemas.openxmlformats.org/officeDocument/2006/relationships" r:embed="rId35"/>
        <a:stretch/>
      </xdr:blipFill>
      <xdr:spPr>
        <a:xfrm>
          <a:off x="6883560" y="15318000"/>
          <a:ext cx="418320" cy="418680"/>
        </a:xfrm>
        <a:prstGeom prst="rect">
          <a:avLst/>
        </a:prstGeom>
        <a:ln w="0">
          <a:noFill/>
        </a:ln>
      </xdr:spPr>
    </xdr:pic>
    <xdr:clientData/>
  </xdr:twoCellAnchor>
  <xdr:twoCellAnchor editAs="oneCell">
    <xdr:from>
      <xdr:col>7</xdr:col>
      <xdr:colOff>0</xdr:colOff>
      <xdr:row>36</xdr:row>
      <xdr:rowOff>325800</xdr:rowOff>
    </xdr:from>
    <xdr:to>
      <xdr:col>7</xdr:col>
      <xdr:colOff>418320</xdr:colOff>
      <xdr:row>48</xdr:row>
      <xdr:rowOff>418350</xdr:rowOff>
    </xdr:to>
    <xdr:pic>
      <xdr:nvPicPr>
        <xdr:cNvPr id="37" name="Image 36" descr="Picture">
          <a:extLst>
            <a:ext uri="{FF2B5EF4-FFF2-40B4-BE49-F238E27FC236}">
              <a16:creationId xmlns:a16="http://schemas.microsoft.com/office/drawing/2014/main" id="{00000000-0008-0000-0100-000025000000}"/>
            </a:ext>
          </a:extLst>
        </xdr:cNvPr>
        <xdr:cNvPicPr/>
      </xdr:nvPicPr>
      <xdr:blipFill>
        <a:blip xmlns:r="http://schemas.openxmlformats.org/officeDocument/2006/relationships" r:embed="rId36"/>
        <a:stretch/>
      </xdr:blipFill>
      <xdr:spPr>
        <a:xfrm>
          <a:off x="6883560" y="15756480"/>
          <a:ext cx="418320" cy="418320"/>
        </a:xfrm>
        <a:prstGeom prst="rect">
          <a:avLst/>
        </a:prstGeom>
        <a:ln w="0">
          <a:noFill/>
        </a:ln>
      </xdr:spPr>
    </xdr:pic>
    <xdr:clientData/>
  </xdr:twoCellAnchor>
  <xdr:twoCellAnchor editAs="oneCell">
    <xdr:from>
      <xdr:col>7</xdr:col>
      <xdr:colOff>0</xdr:colOff>
      <xdr:row>37</xdr:row>
      <xdr:rowOff>325800</xdr:rowOff>
    </xdr:from>
    <xdr:to>
      <xdr:col>7</xdr:col>
      <xdr:colOff>418320</xdr:colOff>
      <xdr:row>48</xdr:row>
      <xdr:rowOff>417990</xdr:rowOff>
    </xdr:to>
    <xdr:pic>
      <xdr:nvPicPr>
        <xdr:cNvPr id="38" name="Image 37" descr="Picture">
          <a:extLst>
            <a:ext uri="{FF2B5EF4-FFF2-40B4-BE49-F238E27FC236}">
              <a16:creationId xmlns:a16="http://schemas.microsoft.com/office/drawing/2014/main" id="{00000000-0008-0000-0100-000026000000}"/>
            </a:ext>
          </a:extLst>
        </xdr:cNvPr>
        <xdr:cNvPicPr/>
      </xdr:nvPicPr>
      <xdr:blipFill>
        <a:blip xmlns:r="http://schemas.openxmlformats.org/officeDocument/2006/relationships" r:embed="rId37"/>
        <a:stretch/>
      </xdr:blipFill>
      <xdr:spPr>
        <a:xfrm>
          <a:off x="6883560" y="16194600"/>
          <a:ext cx="418320" cy="417960"/>
        </a:xfrm>
        <a:prstGeom prst="rect">
          <a:avLst/>
        </a:prstGeom>
        <a:ln w="0">
          <a:noFill/>
        </a:ln>
      </xdr:spPr>
    </xdr:pic>
    <xdr:clientData/>
  </xdr:twoCellAnchor>
  <xdr:twoCellAnchor editAs="oneCell">
    <xdr:from>
      <xdr:col>7</xdr:col>
      <xdr:colOff>0</xdr:colOff>
      <xdr:row>38</xdr:row>
      <xdr:rowOff>325440</xdr:rowOff>
    </xdr:from>
    <xdr:to>
      <xdr:col>7</xdr:col>
      <xdr:colOff>418320</xdr:colOff>
      <xdr:row>48</xdr:row>
      <xdr:rowOff>418350</xdr:rowOff>
    </xdr:to>
    <xdr:pic>
      <xdr:nvPicPr>
        <xdr:cNvPr id="39" name="Image 38" descr="Picture">
          <a:extLst>
            <a:ext uri="{FF2B5EF4-FFF2-40B4-BE49-F238E27FC236}">
              <a16:creationId xmlns:a16="http://schemas.microsoft.com/office/drawing/2014/main" id="{00000000-0008-0000-0100-000027000000}"/>
            </a:ext>
          </a:extLst>
        </xdr:cNvPr>
        <xdr:cNvPicPr/>
      </xdr:nvPicPr>
      <xdr:blipFill>
        <a:blip xmlns:r="http://schemas.openxmlformats.org/officeDocument/2006/relationships" r:embed="rId38"/>
        <a:stretch/>
      </xdr:blipFill>
      <xdr:spPr>
        <a:xfrm>
          <a:off x="6883560" y="16632360"/>
          <a:ext cx="418320" cy="418320"/>
        </a:xfrm>
        <a:prstGeom prst="rect">
          <a:avLst/>
        </a:prstGeom>
        <a:ln w="0">
          <a:noFill/>
        </a:ln>
      </xdr:spPr>
    </xdr:pic>
    <xdr:clientData/>
  </xdr:twoCellAnchor>
  <xdr:twoCellAnchor editAs="oneCell">
    <xdr:from>
      <xdr:col>7</xdr:col>
      <xdr:colOff>0</xdr:colOff>
      <xdr:row>39</xdr:row>
      <xdr:rowOff>325800</xdr:rowOff>
    </xdr:from>
    <xdr:to>
      <xdr:col>7</xdr:col>
      <xdr:colOff>418320</xdr:colOff>
      <xdr:row>48</xdr:row>
      <xdr:rowOff>418350</xdr:rowOff>
    </xdr:to>
    <xdr:pic>
      <xdr:nvPicPr>
        <xdr:cNvPr id="40" name="Image 39" descr="Picture">
          <a:extLst>
            <a:ext uri="{FF2B5EF4-FFF2-40B4-BE49-F238E27FC236}">
              <a16:creationId xmlns:a16="http://schemas.microsoft.com/office/drawing/2014/main" id="{00000000-0008-0000-0100-000028000000}"/>
            </a:ext>
          </a:extLst>
        </xdr:cNvPr>
        <xdr:cNvPicPr/>
      </xdr:nvPicPr>
      <xdr:blipFill>
        <a:blip xmlns:r="http://schemas.openxmlformats.org/officeDocument/2006/relationships" r:embed="rId39"/>
        <a:stretch/>
      </xdr:blipFill>
      <xdr:spPr>
        <a:xfrm>
          <a:off x="6883560" y="17070840"/>
          <a:ext cx="418320" cy="418320"/>
        </a:xfrm>
        <a:prstGeom prst="rect">
          <a:avLst/>
        </a:prstGeom>
        <a:ln w="0">
          <a:noFill/>
        </a:ln>
      </xdr:spPr>
    </xdr:pic>
    <xdr:clientData/>
  </xdr:twoCellAnchor>
  <xdr:twoCellAnchor editAs="oneCell">
    <xdr:from>
      <xdr:col>7</xdr:col>
      <xdr:colOff>0</xdr:colOff>
      <xdr:row>40</xdr:row>
      <xdr:rowOff>325800</xdr:rowOff>
    </xdr:from>
    <xdr:to>
      <xdr:col>7</xdr:col>
      <xdr:colOff>418320</xdr:colOff>
      <xdr:row>48</xdr:row>
      <xdr:rowOff>418350</xdr:rowOff>
    </xdr:to>
    <xdr:pic>
      <xdr:nvPicPr>
        <xdr:cNvPr id="41" name="Image 40" descr="Picture">
          <a:extLst>
            <a:ext uri="{FF2B5EF4-FFF2-40B4-BE49-F238E27FC236}">
              <a16:creationId xmlns:a16="http://schemas.microsoft.com/office/drawing/2014/main" id="{00000000-0008-0000-0100-000029000000}"/>
            </a:ext>
          </a:extLst>
        </xdr:cNvPr>
        <xdr:cNvPicPr/>
      </xdr:nvPicPr>
      <xdr:blipFill>
        <a:blip xmlns:r="http://schemas.openxmlformats.org/officeDocument/2006/relationships" r:embed="rId40"/>
        <a:stretch/>
      </xdr:blipFill>
      <xdr:spPr>
        <a:xfrm>
          <a:off x="6883560" y="17508960"/>
          <a:ext cx="418320" cy="418320"/>
        </a:xfrm>
        <a:prstGeom prst="rect">
          <a:avLst/>
        </a:prstGeom>
        <a:ln w="0">
          <a:noFill/>
        </a:ln>
      </xdr:spPr>
    </xdr:pic>
    <xdr:clientData/>
  </xdr:twoCellAnchor>
  <xdr:twoCellAnchor editAs="oneCell">
    <xdr:from>
      <xdr:col>7</xdr:col>
      <xdr:colOff>0</xdr:colOff>
      <xdr:row>41</xdr:row>
      <xdr:rowOff>325800</xdr:rowOff>
    </xdr:from>
    <xdr:to>
      <xdr:col>7</xdr:col>
      <xdr:colOff>418320</xdr:colOff>
      <xdr:row>48</xdr:row>
      <xdr:rowOff>418350</xdr:rowOff>
    </xdr:to>
    <xdr:pic>
      <xdr:nvPicPr>
        <xdr:cNvPr id="42" name="Image 41" descr="Picture">
          <a:extLst>
            <a:ext uri="{FF2B5EF4-FFF2-40B4-BE49-F238E27FC236}">
              <a16:creationId xmlns:a16="http://schemas.microsoft.com/office/drawing/2014/main" id="{00000000-0008-0000-0100-00002A000000}"/>
            </a:ext>
          </a:extLst>
        </xdr:cNvPr>
        <xdr:cNvPicPr/>
      </xdr:nvPicPr>
      <xdr:blipFill>
        <a:blip xmlns:r="http://schemas.openxmlformats.org/officeDocument/2006/relationships" r:embed="rId41"/>
        <a:stretch/>
      </xdr:blipFill>
      <xdr:spPr>
        <a:xfrm>
          <a:off x="6883560" y="17947080"/>
          <a:ext cx="418320" cy="418320"/>
        </a:xfrm>
        <a:prstGeom prst="rect">
          <a:avLst/>
        </a:prstGeom>
        <a:ln w="0">
          <a:noFill/>
        </a:ln>
      </xdr:spPr>
    </xdr:pic>
    <xdr:clientData/>
  </xdr:twoCellAnchor>
  <xdr:twoCellAnchor editAs="oneCell">
    <xdr:from>
      <xdr:col>7</xdr:col>
      <xdr:colOff>0</xdr:colOff>
      <xdr:row>42</xdr:row>
      <xdr:rowOff>325800</xdr:rowOff>
    </xdr:from>
    <xdr:to>
      <xdr:col>7</xdr:col>
      <xdr:colOff>418320</xdr:colOff>
      <xdr:row>48</xdr:row>
      <xdr:rowOff>418350</xdr:rowOff>
    </xdr:to>
    <xdr:pic>
      <xdr:nvPicPr>
        <xdr:cNvPr id="43" name="Image 42" descr="Picture">
          <a:extLst>
            <a:ext uri="{FF2B5EF4-FFF2-40B4-BE49-F238E27FC236}">
              <a16:creationId xmlns:a16="http://schemas.microsoft.com/office/drawing/2014/main" id="{00000000-0008-0000-0100-00002B000000}"/>
            </a:ext>
          </a:extLst>
        </xdr:cNvPr>
        <xdr:cNvPicPr/>
      </xdr:nvPicPr>
      <xdr:blipFill>
        <a:blip xmlns:r="http://schemas.openxmlformats.org/officeDocument/2006/relationships" r:embed="rId42"/>
        <a:stretch/>
      </xdr:blipFill>
      <xdr:spPr>
        <a:xfrm>
          <a:off x="6883560" y="18385200"/>
          <a:ext cx="418320" cy="418320"/>
        </a:xfrm>
        <a:prstGeom prst="rect">
          <a:avLst/>
        </a:prstGeom>
        <a:ln w="0">
          <a:noFill/>
        </a:ln>
      </xdr:spPr>
    </xdr:pic>
    <xdr:clientData/>
  </xdr:twoCellAnchor>
  <xdr:twoCellAnchor editAs="oneCell">
    <xdr:from>
      <xdr:col>7</xdr:col>
      <xdr:colOff>0</xdr:colOff>
      <xdr:row>43</xdr:row>
      <xdr:rowOff>325800</xdr:rowOff>
    </xdr:from>
    <xdr:to>
      <xdr:col>7</xdr:col>
      <xdr:colOff>418320</xdr:colOff>
      <xdr:row>48</xdr:row>
      <xdr:rowOff>418350</xdr:rowOff>
    </xdr:to>
    <xdr:pic>
      <xdr:nvPicPr>
        <xdr:cNvPr id="44" name="Image 43" descr="Picture">
          <a:extLst>
            <a:ext uri="{FF2B5EF4-FFF2-40B4-BE49-F238E27FC236}">
              <a16:creationId xmlns:a16="http://schemas.microsoft.com/office/drawing/2014/main" id="{00000000-0008-0000-0100-00002C000000}"/>
            </a:ext>
          </a:extLst>
        </xdr:cNvPr>
        <xdr:cNvPicPr/>
      </xdr:nvPicPr>
      <xdr:blipFill>
        <a:blip xmlns:r="http://schemas.openxmlformats.org/officeDocument/2006/relationships" r:embed="rId43"/>
        <a:stretch/>
      </xdr:blipFill>
      <xdr:spPr>
        <a:xfrm>
          <a:off x="6883560" y="18823320"/>
          <a:ext cx="418320" cy="418320"/>
        </a:xfrm>
        <a:prstGeom prst="rect">
          <a:avLst/>
        </a:prstGeom>
        <a:ln w="0">
          <a:noFill/>
        </a:ln>
      </xdr:spPr>
    </xdr:pic>
    <xdr:clientData/>
  </xdr:twoCellAnchor>
  <xdr:twoCellAnchor editAs="oneCell">
    <xdr:from>
      <xdr:col>7</xdr:col>
      <xdr:colOff>0</xdr:colOff>
      <xdr:row>44</xdr:row>
      <xdr:rowOff>325800</xdr:rowOff>
    </xdr:from>
    <xdr:to>
      <xdr:col>7</xdr:col>
      <xdr:colOff>418320</xdr:colOff>
      <xdr:row>48</xdr:row>
      <xdr:rowOff>418350</xdr:rowOff>
    </xdr:to>
    <xdr:pic>
      <xdr:nvPicPr>
        <xdr:cNvPr id="45" name="Image 44" descr="Picture">
          <a:extLst>
            <a:ext uri="{FF2B5EF4-FFF2-40B4-BE49-F238E27FC236}">
              <a16:creationId xmlns:a16="http://schemas.microsoft.com/office/drawing/2014/main" id="{00000000-0008-0000-0100-00002D000000}"/>
            </a:ext>
          </a:extLst>
        </xdr:cNvPr>
        <xdr:cNvPicPr/>
      </xdr:nvPicPr>
      <xdr:blipFill>
        <a:blip xmlns:r="http://schemas.openxmlformats.org/officeDocument/2006/relationships" r:embed="rId44"/>
        <a:stretch/>
      </xdr:blipFill>
      <xdr:spPr>
        <a:xfrm>
          <a:off x="6883560" y="19261440"/>
          <a:ext cx="418320" cy="418320"/>
        </a:xfrm>
        <a:prstGeom prst="rect">
          <a:avLst/>
        </a:prstGeom>
        <a:ln w="0">
          <a:noFill/>
        </a:ln>
      </xdr:spPr>
    </xdr:pic>
    <xdr:clientData/>
  </xdr:twoCellAnchor>
  <xdr:twoCellAnchor editAs="oneCell">
    <xdr:from>
      <xdr:col>7</xdr:col>
      <xdr:colOff>0</xdr:colOff>
      <xdr:row>45</xdr:row>
      <xdr:rowOff>325800</xdr:rowOff>
    </xdr:from>
    <xdr:to>
      <xdr:col>7</xdr:col>
      <xdr:colOff>418320</xdr:colOff>
      <xdr:row>48</xdr:row>
      <xdr:rowOff>418350</xdr:rowOff>
    </xdr:to>
    <xdr:pic>
      <xdr:nvPicPr>
        <xdr:cNvPr id="46" name="Image 45" descr="Picture">
          <a:extLst>
            <a:ext uri="{FF2B5EF4-FFF2-40B4-BE49-F238E27FC236}">
              <a16:creationId xmlns:a16="http://schemas.microsoft.com/office/drawing/2014/main" id="{00000000-0008-0000-0100-00002E000000}"/>
            </a:ext>
          </a:extLst>
        </xdr:cNvPr>
        <xdr:cNvPicPr/>
      </xdr:nvPicPr>
      <xdr:blipFill>
        <a:blip xmlns:r="http://schemas.openxmlformats.org/officeDocument/2006/relationships" r:embed="rId45"/>
        <a:stretch/>
      </xdr:blipFill>
      <xdr:spPr>
        <a:xfrm>
          <a:off x="6883560" y="19699560"/>
          <a:ext cx="418320" cy="418320"/>
        </a:xfrm>
        <a:prstGeom prst="rect">
          <a:avLst/>
        </a:prstGeom>
        <a:ln w="0">
          <a:noFill/>
        </a:ln>
      </xdr:spPr>
    </xdr:pic>
    <xdr:clientData/>
  </xdr:twoCellAnchor>
  <xdr:twoCellAnchor editAs="oneCell">
    <xdr:from>
      <xdr:col>7</xdr:col>
      <xdr:colOff>0</xdr:colOff>
      <xdr:row>46</xdr:row>
      <xdr:rowOff>325800</xdr:rowOff>
    </xdr:from>
    <xdr:to>
      <xdr:col>7</xdr:col>
      <xdr:colOff>418320</xdr:colOff>
      <xdr:row>48</xdr:row>
      <xdr:rowOff>418350</xdr:rowOff>
    </xdr:to>
    <xdr:pic>
      <xdr:nvPicPr>
        <xdr:cNvPr id="47" name="Image 46" descr="Picture">
          <a:extLst>
            <a:ext uri="{FF2B5EF4-FFF2-40B4-BE49-F238E27FC236}">
              <a16:creationId xmlns:a16="http://schemas.microsoft.com/office/drawing/2014/main" id="{00000000-0008-0000-0100-00002F000000}"/>
            </a:ext>
          </a:extLst>
        </xdr:cNvPr>
        <xdr:cNvPicPr/>
      </xdr:nvPicPr>
      <xdr:blipFill>
        <a:blip xmlns:r="http://schemas.openxmlformats.org/officeDocument/2006/relationships" r:embed="rId46"/>
        <a:stretch/>
      </xdr:blipFill>
      <xdr:spPr>
        <a:xfrm>
          <a:off x="6883560" y="20137680"/>
          <a:ext cx="418320" cy="418320"/>
        </a:xfrm>
        <a:prstGeom prst="rect">
          <a:avLst/>
        </a:prstGeom>
        <a:ln w="0">
          <a:noFill/>
        </a:ln>
      </xdr:spPr>
    </xdr:pic>
    <xdr:clientData/>
  </xdr:twoCellAnchor>
  <xdr:twoCellAnchor editAs="oneCell">
    <xdr:from>
      <xdr:col>7</xdr:col>
      <xdr:colOff>0</xdr:colOff>
      <xdr:row>47</xdr:row>
      <xdr:rowOff>325800</xdr:rowOff>
    </xdr:from>
    <xdr:to>
      <xdr:col>7</xdr:col>
      <xdr:colOff>418320</xdr:colOff>
      <xdr:row>48</xdr:row>
      <xdr:rowOff>418350</xdr:rowOff>
    </xdr:to>
    <xdr:pic>
      <xdr:nvPicPr>
        <xdr:cNvPr id="48" name="Image 47" descr="Picture">
          <a:extLst>
            <a:ext uri="{FF2B5EF4-FFF2-40B4-BE49-F238E27FC236}">
              <a16:creationId xmlns:a16="http://schemas.microsoft.com/office/drawing/2014/main" id="{00000000-0008-0000-0100-000030000000}"/>
            </a:ext>
          </a:extLst>
        </xdr:cNvPr>
        <xdr:cNvPicPr/>
      </xdr:nvPicPr>
      <xdr:blipFill>
        <a:blip xmlns:r="http://schemas.openxmlformats.org/officeDocument/2006/relationships" r:embed="rId47"/>
        <a:stretch/>
      </xdr:blipFill>
      <xdr:spPr>
        <a:xfrm>
          <a:off x="6883560" y="20575800"/>
          <a:ext cx="418320" cy="418680"/>
        </a:xfrm>
        <a:prstGeom prst="rect">
          <a:avLst/>
        </a:prstGeom>
        <a:ln w="0">
          <a:noFill/>
        </a:ln>
      </xdr:spPr>
    </xdr:pic>
    <xdr:clientData/>
  </xdr:twoCellAnchor>
  <xdr:twoCellAnchor editAs="oneCell">
    <xdr:from>
      <xdr:col>7</xdr:col>
      <xdr:colOff>0</xdr:colOff>
      <xdr:row>48</xdr:row>
      <xdr:rowOff>325800</xdr:rowOff>
    </xdr:from>
    <xdr:to>
      <xdr:col>7</xdr:col>
      <xdr:colOff>418320</xdr:colOff>
      <xdr:row>49</xdr:row>
      <xdr:rowOff>306000</xdr:rowOff>
    </xdr:to>
    <xdr:pic>
      <xdr:nvPicPr>
        <xdr:cNvPr id="49" name="Image 48" descr="Picture">
          <a:extLst>
            <a:ext uri="{FF2B5EF4-FFF2-40B4-BE49-F238E27FC236}">
              <a16:creationId xmlns:a16="http://schemas.microsoft.com/office/drawing/2014/main" id="{00000000-0008-0000-0100-000031000000}"/>
            </a:ext>
          </a:extLst>
        </xdr:cNvPr>
        <xdr:cNvPicPr/>
      </xdr:nvPicPr>
      <xdr:blipFill>
        <a:blip xmlns:r="http://schemas.openxmlformats.org/officeDocument/2006/relationships" r:embed="rId48"/>
        <a:stretch/>
      </xdr:blipFill>
      <xdr:spPr>
        <a:xfrm>
          <a:off x="6883560" y="21014280"/>
          <a:ext cx="418320" cy="418320"/>
        </a:xfrm>
        <a:prstGeom prst="rect">
          <a:avLst/>
        </a:prstGeom>
        <a:ln w="0">
          <a:noFill/>
        </a:ln>
      </xdr:spPr>
    </xdr:pic>
    <xdr:clientData/>
  </xdr:twoCellAnchor>
  <xdr:twoCellAnchor editAs="oneCell">
    <xdr:from>
      <xdr:col>7</xdr:col>
      <xdr:colOff>0</xdr:colOff>
      <xdr:row>49</xdr:row>
      <xdr:rowOff>325800</xdr:rowOff>
    </xdr:from>
    <xdr:to>
      <xdr:col>7</xdr:col>
      <xdr:colOff>418320</xdr:colOff>
      <xdr:row>51</xdr:row>
      <xdr:rowOff>305640</xdr:rowOff>
    </xdr:to>
    <xdr:pic>
      <xdr:nvPicPr>
        <xdr:cNvPr id="50" name="Image 49" descr="Picture">
          <a:extLst>
            <a:ext uri="{FF2B5EF4-FFF2-40B4-BE49-F238E27FC236}">
              <a16:creationId xmlns:a16="http://schemas.microsoft.com/office/drawing/2014/main" id="{00000000-0008-0000-0100-000032000000}"/>
            </a:ext>
          </a:extLst>
        </xdr:cNvPr>
        <xdr:cNvPicPr/>
      </xdr:nvPicPr>
      <xdr:blipFill>
        <a:blip xmlns:r="http://schemas.openxmlformats.org/officeDocument/2006/relationships" r:embed="rId49"/>
        <a:stretch/>
      </xdr:blipFill>
      <xdr:spPr>
        <a:xfrm>
          <a:off x="6883560" y="21452400"/>
          <a:ext cx="418320" cy="417960"/>
        </a:xfrm>
        <a:prstGeom prst="rect">
          <a:avLst/>
        </a:prstGeom>
        <a:ln w="0">
          <a:noFill/>
        </a:ln>
      </xdr:spPr>
    </xdr:pic>
    <xdr:clientData/>
  </xdr:twoCellAnchor>
  <xdr:twoCellAnchor editAs="oneCell">
    <xdr:from>
      <xdr:col>7</xdr:col>
      <xdr:colOff>0</xdr:colOff>
      <xdr:row>50</xdr:row>
      <xdr:rowOff>325440</xdr:rowOff>
    </xdr:from>
    <xdr:to>
      <xdr:col>7</xdr:col>
      <xdr:colOff>418320</xdr:colOff>
      <xdr:row>51</xdr:row>
      <xdr:rowOff>418350</xdr:rowOff>
    </xdr:to>
    <xdr:pic>
      <xdr:nvPicPr>
        <xdr:cNvPr id="51" name="Image 50" descr="Picture">
          <a:extLst>
            <a:ext uri="{FF2B5EF4-FFF2-40B4-BE49-F238E27FC236}">
              <a16:creationId xmlns:a16="http://schemas.microsoft.com/office/drawing/2014/main" id="{00000000-0008-0000-0100-000033000000}"/>
            </a:ext>
          </a:extLst>
        </xdr:cNvPr>
        <xdr:cNvPicPr/>
      </xdr:nvPicPr>
      <xdr:blipFill>
        <a:blip xmlns:r="http://schemas.openxmlformats.org/officeDocument/2006/relationships" r:embed="rId50"/>
        <a:stretch/>
      </xdr:blipFill>
      <xdr:spPr>
        <a:xfrm>
          <a:off x="6883560" y="21890160"/>
          <a:ext cx="418320" cy="418320"/>
        </a:xfrm>
        <a:prstGeom prst="rect">
          <a:avLst/>
        </a:prstGeom>
        <a:ln w="0">
          <a:noFill/>
        </a:ln>
      </xdr:spPr>
    </xdr:pic>
    <xdr:clientData/>
  </xdr:twoCellAnchor>
  <xdr:twoCellAnchor editAs="oneCell">
    <xdr:from>
      <xdr:col>7</xdr:col>
      <xdr:colOff>0</xdr:colOff>
      <xdr:row>51</xdr:row>
      <xdr:rowOff>325800</xdr:rowOff>
    </xdr:from>
    <xdr:to>
      <xdr:col>7</xdr:col>
      <xdr:colOff>418320</xdr:colOff>
      <xdr:row>52</xdr:row>
      <xdr:rowOff>306000</xdr:rowOff>
    </xdr:to>
    <xdr:pic>
      <xdr:nvPicPr>
        <xdr:cNvPr id="52" name="Image 51" descr="Picture">
          <a:extLst>
            <a:ext uri="{FF2B5EF4-FFF2-40B4-BE49-F238E27FC236}">
              <a16:creationId xmlns:a16="http://schemas.microsoft.com/office/drawing/2014/main" id="{00000000-0008-0000-0100-000034000000}"/>
            </a:ext>
          </a:extLst>
        </xdr:cNvPr>
        <xdr:cNvPicPr/>
      </xdr:nvPicPr>
      <xdr:blipFill>
        <a:blip xmlns:r="http://schemas.openxmlformats.org/officeDocument/2006/relationships" r:embed="rId51"/>
        <a:stretch/>
      </xdr:blipFill>
      <xdr:spPr>
        <a:xfrm>
          <a:off x="6883560" y="22328640"/>
          <a:ext cx="418320" cy="418320"/>
        </a:xfrm>
        <a:prstGeom prst="rect">
          <a:avLst/>
        </a:prstGeom>
        <a:ln w="0">
          <a:noFill/>
        </a:ln>
      </xdr:spPr>
    </xdr:pic>
    <xdr:clientData/>
  </xdr:twoCellAnchor>
  <xdr:twoCellAnchor editAs="oneCell">
    <xdr:from>
      <xdr:col>7</xdr:col>
      <xdr:colOff>0</xdr:colOff>
      <xdr:row>52</xdr:row>
      <xdr:rowOff>325800</xdr:rowOff>
    </xdr:from>
    <xdr:to>
      <xdr:col>7</xdr:col>
      <xdr:colOff>418320</xdr:colOff>
      <xdr:row>54</xdr:row>
      <xdr:rowOff>306000</xdr:rowOff>
    </xdr:to>
    <xdr:pic>
      <xdr:nvPicPr>
        <xdr:cNvPr id="53" name="Image 52" descr="Picture">
          <a:extLst>
            <a:ext uri="{FF2B5EF4-FFF2-40B4-BE49-F238E27FC236}">
              <a16:creationId xmlns:a16="http://schemas.microsoft.com/office/drawing/2014/main" id="{00000000-0008-0000-0100-000035000000}"/>
            </a:ext>
          </a:extLst>
        </xdr:cNvPr>
        <xdr:cNvPicPr/>
      </xdr:nvPicPr>
      <xdr:blipFill>
        <a:blip xmlns:r="http://schemas.openxmlformats.org/officeDocument/2006/relationships" r:embed="rId52"/>
        <a:stretch/>
      </xdr:blipFill>
      <xdr:spPr>
        <a:xfrm>
          <a:off x="6883560" y="22766760"/>
          <a:ext cx="418320" cy="418320"/>
        </a:xfrm>
        <a:prstGeom prst="rect">
          <a:avLst/>
        </a:prstGeom>
        <a:ln w="0">
          <a:noFill/>
        </a:ln>
      </xdr:spPr>
    </xdr:pic>
    <xdr:clientData/>
  </xdr:twoCellAnchor>
  <xdr:twoCellAnchor editAs="oneCell">
    <xdr:from>
      <xdr:col>7</xdr:col>
      <xdr:colOff>0</xdr:colOff>
      <xdr:row>53</xdr:row>
      <xdr:rowOff>325800</xdr:rowOff>
    </xdr:from>
    <xdr:to>
      <xdr:col>7</xdr:col>
      <xdr:colOff>418320</xdr:colOff>
      <xdr:row>54</xdr:row>
      <xdr:rowOff>418350</xdr:rowOff>
    </xdr:to>
    <xdr:pic>
      <xdr:nvPicPr>
        <xdr:cNvPr id="54" name="Image 53" descr="Picture">
          <a:extLst>
            <a:ext uri="{FF2B5EF4-FFF2-40B4-BE49-F238E27FC236}">
              <a16:creationId xmlns:a16="http://schemas.microsoft.com/office/drawing/2014/main" id="{00000000-0008-0000-0100-000036000000}"/>
            </a:ext>
          </a:extLst>
        </xdr:cNvPr>
        <xdr:cNvPicPr/>
      </xdr:nvPicPr>
      <xdr:blipFill>
        <a:blip xmlns:r="http://schemas.openxmlformats.org/officeDocument/2006/relationships" r:embed="rId53"/>
        <a:stretch/>
      </xdr:blipFill>
      <xdr:spPr>
        <a:xfrm>
          <a:off x="6883560" y="23204880"/>
          <a:ext cx="418320" cy="418320"/>
        </a:xfrm>
        <a:prstGeom prst="rect">
          <a:avLst/>
        </a:prstGeom>
        <a:ln w="0">
          <a:noFill/>
        </a:ln>
      </xdr:spPr>
    </xdr:pic>
    <xdr:clientData/>
  </xdr:twoCellAnchor>
  <xdr:twoCellAnchor editAs="oneCell">
    <xdr:from>
      <xdr:col>7</xdr:col>
      <xdr:colOff>0</xdr:colOff>
      <xdr:row>54</xdr:row>
      <xdr:rowOff>325800</xdr:rowOff>
    </xdr:from>
    <xdr:to>
      <xdr:col>7</xdr:col>
      <xdr:colOff>418320</xdr:colOff>
      <xdr:row>56</xdr:row>
      <xdr:rowOff>306000</xdr:rowOff>
    </xdr:to>
    <xdr:pic>
      <xdr:nvPicPr>
        <xdr:cNvPr id="55" name="Image 54" descr="Picture">
          <a:extLst>
            <a:ext uri="{FF2B5EF4-FFF2-40B4-BE49-F238E27FC236}">
              <a16:creationId xmlns:a16="http://schemas.microsoft.com/office/drawing/2014/main" id="{00000000-0008-0000-0100-000037000000}"/>
            </a:ext>
          </a:extLst>
        </xdr:cNvPr>
        <xdr:cNvPicPr/>
      </xdr:nvPicPr>
      <xdr:blipFill>
        <a:blip xmlns:r="http://schemas.openxmlformats.org/officeDocument/2006/relationships" r:embed="rId54"/>
        <a:stretch/>
      </xdr:blipFill>
      <xdr:spPr>
        <a:xfrm>
          <a:off x="6883560" y="23643000"/>
          <a:ext cx="418320" cy="418320"/>
        </a:xfrm>
        <a:prstGeom prst="rect">
          <a:avLst/>
        </a:prstGeom>
        <a:ln w="0">
          <a:noFill/>
        </a:ln>
      </xdr:spPr>
    </xdr:pic>
    <xdr:clientData/>
  </xdr:twoCellAnchor>
  <xdr:twoCellAnchor editAs="oneCell">
    <xdr:from>
      <xdr:col>7</xdr:col>
      <xdr:colOff>0</xdr:colOff>
      <xdr:row>55</xdr:row>
      <xdr:rowOff>325800</xdr:rowOff>
    </xdr:from>
    <xdr:to>
      <xdr:col>7</xdr:col>
      <xdr:colOff>418320</xdr:colOff>
      <xdr:row>56</xdr:row>
      <xdr:rowOff>418350</xdr:rowOff>
    </xdr:to>
    <xdr:pic>
      <xdr:nvPicPr>
        <xdr:cNvPr id="56" name="Image 55" descr="Picture">
          <a:extLst>
            <a:ext uri="{FF2B5EF4-FFF2-40B4-BE49-F238E27FC236}">
              <a16:creationId xmlns:a16="http://schemas.microsoft.com/office/drawing/2014/main" id="{00000000-0008-0000-0100-000038000000}"/>
            </a:ext>
          </a:extLst>
        </xdr:cNvPr>
        <xdr:cNvPicPr/>
      </xdr:nvPicPr>
      <xdr:blipFill>
        <a:blip xmlns:r="http://schemas.openxmlformats.org/officeDocument/2006/relationships" r:embed="rId55"/>
        <a:stretch/>
      </xdr:blipFill>
      <xdr:spPr>
        <a:xfrm>
          <a:off x="6883560" y="24081120"/>
          <a:ext cx="418320" cy="418320"/>
        </a:xfrm>
        <a:prstGeom prst="rect">
          <a:avLst/>
        </a:prstGeom>
        <a:ln w="0">
          <a:noFill/>
        </a:ln>
      </xdr:spPr>
    </xdr:pic>
    <xdr:clientData/>
  </xdr:twoCellAnchor>
  <xdr:twoCellAnchor editAs="oneCell">
    <xdr:from>
      <xdr:col>7</xdr:col>
      <xdr:colOff>0</xdr:colOff>
      <xdr:row>56</xdr:row>
      <xdr:rowOff>325800</xdr:rowOff>
    </xdr:from>
    <xdr:to>
      <xdr:col>7</xdr:col>
      <xdr:colOff>418320</xdr:colOff>
      <xdr:row>57</xdr:row>
      <xdr:rowOff>306000</xdr:rowOff>
    </xdr:to>
    <xdr:pic>
      <xdr:nvPicPr>
        <xdr:cNvPr id="57" name="Image 56" descr="Picture">
          <a:extLst>
            <a:ext uri="{FF2B5EF4-FFF2-40B4-BE49-F238E27FC236}">
              <a16:creationId xmlns:a16="http://schemas.microsoft.com/office/drawing/2014/main" id="{00000000-0008-0000-0100-000039000000}"/>
            </a:ext>
          </a:extLst>
        </xdr:cNvPr>
        <xdr:cNvPicPr/>
      </xdr:nvPicPr>
      <xdr:blipFill>
        <a:blip xmlns:r="http://schemas.openxmlformats.org/officeDocument/2006/relationships" r:embed="rId56"/>
        <a:stretch/>
      </xdr:blipFill>
      <xdr:spPr>
        <a:xfrm>
          <a:off x="6883560" y="24519240"/>
          <a:ext cx="418320" cy="418320"/>
        </a:xfrm>
        <a:prstGeom prst="rect">
          <a:avLst/>
        </a:prstGeom>
        <a:ln w="0">
          <a:noFill/>
        </a:ln>
      </xdr:spPr>
    </xdr:pic>
    <xdr:clientData/>
  </xdr:twoCellAnchor>
  <xdr:twoCellAnchor editAs="oneCell">
    <xdr:from>
      <xdr:col>7</xdr:col>
      <xdr:colOff>0</xdr:colOff>
      <xdr:row>57</xdr:row>
      <xdr:rowOff>325800</xdr:rowOff>
    </xdr:from>
    <xdr:to>
      <xdr:col>7</xdr:col>
      <xdr:colOff>418320</xdr:colOff>
      <xdr:row>58</xdr:row>
      <xdr:rowOff>306000</xdr:rowOff>
    </xdr:to>
    <xdr:pic>
      <xdr:nvPicPr>
        <xdr:cNvPr id="58" name="Image 57" descr="Picture">
          <a:extLst>
            <a:ext uri="{FF2B5EF4-FFF2-40B4-BE49-F238E27FC236}">
              <a16:creationId xmlns:a16="http://schemas.microsoft.com/office/drawing/2014/main" id="{00000000-0008-0000-0100-00003A000000}"/>
            </a:ext>
          </a:extLst>
        </xdr:cNvPr>
        <xdr:cNvPicPr/>
      </xdr:nvPicPr>
      <xdr:blipFill>
        <a:blip xmlns:r="http://schemas.openxmlformats.org/officeDocument/2006/relationships" r:embed="rId57"/>
        <a:stretch/>
      </xdr:blipFill>
      <xdr:spPr>
        <a:xfrm>
          <a:off x="6883560" y="24957360"/>
          <a:ext cx="418320" cy="418320"/>
        </a:xfrm>
        <a:prstGeom prst="rect">
          <a:avLst/>
        </a:prstGeom>
        <a:ln w="0">
          <a:noFill/>
        </a:ln>
      </xdr:spPr>
    </xdr:pic>
    <xdr:clientData/>
  </xdr:twoCellAnchor>
  <xdr:twoCellAnchor editAs="oneCell">
    <xdr:from>
      <xdr:col>7</xdr:col>
      <xdr:colOff>0</xdr:colOff>
      <xdr:row>58</xdr:row>
      <xdr:rowOff>325800</xdr:rowOff>
    </xdr:from>
    <xdr:to>
      <xdr:col>7</xdr:col>
      <xdr:colOff>418320</xdr:colOff>
      <xdr:row>59</xdr:row>
      <xdr:rowOff>306000</xdr:rowOff>
    </xdr:to>
    <xdr:pic>
      <xdr:nvPicPr>
        <xdr:cNvPr id="59" name="Image 58" descr="Picture">
          <a:extLst>
            <a:ext uri="{FF2B5EF4-FFF2-40B4-BE49-F238E27FC236}">
              <a16:creationId xmlns:a16="http://schemas.microsoft.com/office/drawing/2014/main" id="{00000000-0008-0000-0100-00003B000000}"/>
            </a:ext>
          </a:extLst>
        </xdr:cNvPr>
        <xdr:cNvPicPr/>
      </xdr:nvPicPr>
      <xdr:blipFill>
        <a:blip xmlns:r="http://schemas.openxmlformats.org/officeDocument/2006/relationships" r:embed="rId58"/>
        <a:stretch/>
      </xdr:blipFill>
      <xdr:spPr>
        <a:xfrm>
          <a:off x="6883560" y="25395480"/>
          <a:ext cx="418320" cy="418320"/>
        </a:xfrm>
        <a:prstGeom prst="rect">
          <a:avLst/>
        </a:prstGeom>
        <a:ln w="0">
          <a:noFill/>
        </a:ln>
      </xdr:spPr>
    </xdr:pic>
    <xdr:clientData/>
  </xdr:twoCellAnchor>
  <xdr:twoCellAnchor editAs="oneCell">
    <xdr:from>
      <xdr:col>7</xdr:col>
      <xdr:colOff>0</xdr:colOff>
      <xdr:row>59</xdr:row>
      <xdr:rowOff>325800</xdr:rowOff>
    </xdr:from>
    <xdr:to>
      <xdr:col>7</xdr:col>
      <xdr:colOff>418320</xdr:colOff>
      <xdr:row>60</xdr:row>
      <xdr:rowOff>306000</xdr:rowOff>
    </xdr:to>
    <xdr:pic>
      <xdr:nvPicPr>
        <xdr:cNvPr id="60" name="Image 59" descr="Picture">
          <a:extLst>
            <a:ext uri="{FF2B5EF4-FFF2-40B4-BE49-F238E27FC236}">
              <a16:creationId xmlns:a16="http://schemas.microsoft.com/office/drawing/2014/main" id="{00000000-0008-0000-0100-00003C000000}"/>
            </a:ext>
          </a:extLst>
        </xdr:cNvPr>
        <xdr:cNvPicPr/>
      </xdr:nvPicPr>
      <xdr:blipFill>
        <a:blip xmlns:r="http://schemas.openxmlformats.org/officeDocument/2006/relationships" r:embed="rId59"/>
        <a:stretch/>
      </xdr:blipFill>
      <xdr:spPr>
        <a:xfrm>
          <a:off x="6883560" y="25833600"/>
          <a:ext cx="418320" cy="418680"/>
        </a:xfrm>
        <a:prstGeom prst="rect">
          <a:avLst/>
        </a:prstGeom>
        <a:ln w="0">
          <a:noFill/>
        </a:ln>
      </xdr:spPr>
    </xdr:pic>
    <xdr:clientData/>
  </xdr:twoCellAnchor>
  <xdr:twoCellAnchor editAs="oneCell">
    <xdr:from>
      <xdr:col>7</xdr:col>
      <xdr:colOff>0</xdr:colOff>
      <xdr:row>60</xdr:row>
      <xdr:rowOff>325800</xdr:rowOff>
    </xdr:from>
    <xdr:to>
      <xdr:col>7</xdr:col>
      <xdr:colOff>418320</xdr:colOff>
      <xdr:row>61</xdr:row>
      <xdr:rowOff>306000</xdr:rowOff>
    </xdr:to>
    <xdr:pic>
      <xdr:nvPicPr>
        <xdr:cNvPr id="61" name="Image 60" descr="Picture">
          <a:extLst>
            <a:ext uri="{FF2B5EF4-FFF2-40B4-BE49-F238E27FC236}">
              <a16:creationId xmlns:a16="http://schemas.microsoft.com/office/drawing/2014/main" id="{00000000-0008-0000-0100-00003D000000}"/>
            </a:ext>
          </a:extLst>
        </xdr:cNvPr>
        <xdr:cNvPicPr/>
      </xdr:nvPicPr>
      <xdr:blipFill>
        <a:blip xmlns:r="http://schemas.openxmlformats.org/officeDocument/2006/relationships" r:embed="rId60"/>
        <a:stretch/>
      </xdr:blipFill>
      <xdr:spPr>
        <a:xfrm>
          <a:off x="6883560" y="26272080"/>
          <a:ext cx="418320" cy="418320"/>
        </a:xfrm>
        <a:prstGeom prst="rect">
          <a:avLst/>
        </a:prstGeom>
        <a:ln w="0">
          <a:noFill/>
        </a:ln>
      </xdr:spPr>
    </xdr:pic>
    <xdr:clientData/>
  </xdr:twoCellAnchor>
  <xdr:twoCellAnchor editAs="oneCell">
    <xdr:from>
      <xdr:col>7</xdr:col>
      <xdr:colOff>0</xdr:colOff>
      <xdr:row>61</xdr:row>
      <xdr:rowOff>325800</xdr:rowOff>
    </xdr:from>
    <xdr:to>
      <xdr:col>7</xdr:col>
      <xdr:colOff>418320</xdr:colOff>
      <xdr:row>62</xdr:row>
      <xdr:rowOff>305640</xdr:rowOff>
    </xdr:to>
    <xdr:pic>
      <xdr:nvPicPr>
        <xdr:cNvPr id="62" name="Image 61" descr="Picture">
          <a:extLst>
            <a:ext uri="{FF2B5EF4-FFF2-40B4-BE49-F238E27FC236}">
              <a16:creationId xmlns:a16="http://schemas.microsoft.com/office/drawing/2014/main" id="{00000000-0008-0000-0100-00003E000000}"/>
            </a:ext>
          </a:extLst>
        </xdr:cNvPr>
        <xdr:cNvPicPr/>
      </xdr:nvPicPr>
      <xdr:blipFill>
        <a:blip xmlns:r="http://schemas.openxmlformats.org/officeDocument/2006/relationships" r:embed="rId61"/>
        <a:stretch/>
      </xdr:blipFill>
      <xdr:spPr>
        <a:xfrm>
          <a:off x="6883560" y="26710200"/>
          <a:ext cx="418320" cy="417960"/>
        </a:xfrm>
        <a:prstGeom prst="rect">
          <a:avLst/>
        </a:prstGeom>
        <a:ln w="0">
          <a:noFill/>
        </a:ln>
      </xdr:spPr>
    </xdr:pic>
    <xdr:clientData/>
  </xdr:twoCellAnchor>
  <xdr:twoCellAnchor editAs="oneCell">
    <xdr:from>
      <xdr:col>7</xdr:col>
      <xdr:colOff>0</xdr:colOff>
      <xdr:row>62</xdr:row>
      <xdr:rowOff>325440</xdr:rowOff>
    </xdr:from>
    <xdr:to>
      <xdr:col>7</xdr:col>
      <xdr:colOff>418320</xdr:colOff>
      <xdr:row>65</xdr:row>
      <xdr:rowOff>305640</xdr:rowOff>
    </xdr:to>
    <xdr:pic>
      <xdr:nvPicPr>
        <xdr:cNvPr id="63" name="Image 62" descr="Picture">
          <a:extLst>
            <a:ext uri="{FF2B5EF4-FFF2-40B4-BE49-F238E27FC236}">
              <a16:creationId xmlns:a16="http://schemas.microsoft.com/office/drawing/2014/main" id="{00000000-0008-0000-0100-00003F000000}"/>
            </a:ext>
          </a:extLst>
        </xdr:cNvPr>
        <xdr:cNvPicPr/>
      </xdr:nvPicPr>
      <xdr:blipFill>
        <a:blip xmlns:r="http://schemas.openxmlformats.org/officeDocument/2006/relationships" r:embed="rId62"/>
        <a:stretch/>
      </xdr:blipFill>
      <xdr:spPr>
        <a:xfrm>
          <a:off x="6883560" y="27147960"/>
          <a:ext cx="418320" cy="418320"/>
        </a:xfrm>
        <a:prstGeom prst="rect">
          <a:avLst/>
        </a:prstGeom>
        <a:ln w="0">
          <a:noFill/>
        </a:ln>
      </xdr:spPr>
    </xdr:pic>
    <xdr:clientData/>
  </xdr:twoCellAnchor>
  <xdr:twoCellAnchor editAs="oneCell">
    <xdr:from>
      <xdr:col>7</xdr:col>
      <xdr:colOff>0</xdr:colOff>
      <xdr:row>63</xdr:row>
      <xdr:rowOff>325800</xdr:rowOff>
    </xdr:from>
    <xdr:to>
      <xdr:col>7</xdr:col>
      <xdr:colOff>418320</xdr:colOff>
      <xdr:row>65</xdr:row>
      <xdr:rowOff>418350</xdr:rowOff>
    </xdr:to>
    <xdr:pic>
      <xdr:nvPicPr>
        <xdr:cNvPr id="64" name="Image 63" descr="Picture">
          <a:extLst>
            <a:ext uri="{FF2B5EF4-FFF2-40B4-BE49-F238E27FC236}">
              <a16:creationId xmlns:a16="http://schemas.microsoft.com/office/drawing/2014/main" id="{00000000-0008-0000-0100-000040000000}"/>
            </a:ext>
          </a:extLst>
        </xdr:cNvPr>
        <xdr:cNvPicPr/>
      </xdr:nvPicPr>
      <xdr:blipFill>
        <a:blip xmlns:r="http://schemas.openxmlformats.org/officeDocument/2006/relationships" r:embed="rId63"/>
        <a:stretch/>
      </xdr:blipFill>
      <xdr:spPr>
        <a:xfrm>
          <a:off x="6883560" y="27586440"/>
          <a:ext cx="418320" cy="418320"/>
        </a:xfrm>
        <a:prstGeom prst="rect">
          <a:avLst/>
        </a:prstGeom>
        <a:ln w="0">
          <a:noFill/>
        </a:ln>
      </xdr:spPr>
    </xdr:pic>
    <xdr:clientData/>
  </xdr:twoCellAnchor>
  <xdr:twoCellAnchor editAs="oneCell">
    <xdr:from>
      <xdr:col>7</xdr:col>
      <xdr:colOff>0</xdr:colOff>
      <xdr:row>64</xdr:row>
      <xdr:rowOff>325800</xdr:rowOff>
    </xdr:from>
    <xdr:to>
      <xdr:col>7</xdr:col>
      <xdr:colOff>418320</xdr:colOff>
      <xdr:row>65</xdr:row>
      <xdr:rowOff>418350</xdr:rowOff>
    </xdr:to>
    <xdr:pic>
      <xdr:nvPicPr>
        <xdr:cNvPr id="65" name="Image 64" descr="Picture">
          <a:extLst>
            <a:ext uri="{FF2B5EF4-FFF2-40B4-BE49-F238E27FC236}">
              <a16:creationId xmlns:a16="http://schemas.microsoft.com/office/drawing/2014/main" id="{00000000-0008-0000-0100-000041000000}"/>
            </a:ext>
          </a:extLst>
        </xdr:cNvPr>
        <xdr:cNvPicPr/>
      </xdr:nvPicPr>
      <xdr:blipFill>
        <a:blip xmlns:r="http://schemas.openxmlformats.org/officeDocument/2006/relationships" r:embed="rId64"/>
        <a:stretch/>
      </xdr:blipFill>
      <xdr:spPr>
        <a:xfrm>
          <a:off x="6883560" y="28024560"/>
          <a:ext cx="418320" cy="418320"/>
        </a:xfrm>
        <a:prstGeom prst="rect">
          <a:avLst/>
        </a:prstGeom>
        <a:ln w="0">
          <a:noFill/>
        </a:ln>
      </xdr:spPr>
    </xdr:pic>
    <xdr:clientData/>
  </xdr:twoCellAnchor>
  <xdr:twoCellAnchor editAs="oneCell">
    <xdr:from>
      <xdr:col>7</xdr:col>
      <xdr:colOff>0</xdr:colOff>
      <xdr:row>65</xdr:row>
      <xdr:rowOff>325800</xdr:rowOff>
    </xdr:from>
    <xdr:to>
      <xdr:col>7</xdr:col>
      <xdr:colOff>418320</xdr:colOff>
      <xdr:row>70</xdr:row>
      <xdr:rowOff>306000</xdr:rowOff>
    </xdr:to>
    <xdr:pic>
      <xdr:nvPicPr>
        <xdr:cNvPr id="66" name="Image 65" descr="Picture">
          <a:extLst>
            <a:ext uri="{FF2B5EF4-FFF2-40B4-BE49-F238E27FC236}">
              <a16:creationId xmlns:a16="http://schemas.microsoft.com/office/drawing/2014/main" id="{00000000-0008-0000-0100-000042000000}"/>
            </a:ext>
          </a:extLst>
        </xdr:cNvPr>
        <xdr:cNvPicPr/>
      </xdr:nvPicPr>
      <xdr:blipFill>
        <a:blip xmlns:r="http://schemas.openxmlformats.org/officeDocument/2006/relationships" r:embed="rId65"/>
        <a:stretch/>
      </xdr:blipFill>
      <xdr:spPr>
        <a:xfrm>
          <a:off x="6883560" y="28462680"/>
          <a:ext cx="418320" cy="418320"/>
        </a:xfrm>
        <a:prstGeom prst="rect">
          <a:avLst/>
        </a:prstGeom>
        <a:ln w="0">
          <a:noFill/>
        </a:ln>
      </xdr:spPr>
    </xdr:pic>
    <xdr:clientData/>
  </xdr:twoCellAnchor>
  <xdr:twoCellAnchor editAs="oneCell">
    <xdr:from>
      <xdr:col>7</xdr:col>
      <xdr:colOff>0</xdr:colOff>
      <xdr:row>66</xdr:row>
      <xdr:rowOff>325800</xdr:rowOff>
    </xdr:from>
    <xdr:to>
      <xdr:col>7</xdr:col>
      <xdr:colOff>418320</xdr:colOff>
      <xdr:row>70</xdr:row>
      <xdr:rowOff>418350</xdr:rowOff>
    </xdr:to>
    <xdr:pic>
      <xdr:nvPicPr>
        <xdr:cNvPr id="67" name="Image 66" descr="Picture">
          <a:extLst>
            <a:ext uri="{FF2B5EF4-FFF2-40B4-BE49-F238E27FC236}">
              <a16:creationId xmlns:a16="http://schemas.microsoft.com/office/drawing/2014/main" id="{00000000-0008-0000-0100-000043000000}"/>
            </a:ext>
          </a:extLst>
        </xdr:cNvPr>
        <xdr:cNvPicPr/>
      </xdr:nvPicPr>
      <xdr:blipFill>
        <a:blip xmlns:r="http://schemas.openxmlformats.org/officeDocument/2006/relationships" r:embed="rId66"/>
        <a:stretch/>
      </xdr:blipFill>
      <xdr:spPr>
        <a:xfrm>
          <a:off x="6883560" y="28900800"/>
          <a:ext cx="418320" cy="418320"/>
        </a:xfrm>
        <a:prstGeom prst="rect">
          <a:avLst/>
        </a:prstGeom>
        <a:ln w="0">
          <a:noFill/>
        </a:ln>
      </xdr:spPr>
    </xdr:pic>
    <xdr:clientData/>
  </xdr:twoCellAnchor>
  <xdr:twoCellAnchor editAs="oneCell">
    <xdr:from>
      <xdr:col>7</xdr:col>
      <xdr:colOff>0</xdr:colOff>
      <xdr:row>67</xdr:row>
      <xdr:rowOff>325800</xdr:rowOff>
    </xdr:from>
    <xdr:to>
      <xdr:col>7</xdr:col>
      <xdr:colOff>418320</xdr:colOff>
      <xdr:row>70</xdr:row>
      <xdr:rowOff>418350</xdr:rowOff>
    </xdr:to>
    <xdr:pic>
      <xdr:nvPicPr>
        <xdr:cNvPr id="68" name="Image 67" descr="Picture">
          <a:extLst>
            <a:ext uri="{FF2B5EF4-FFF2-40B4-BE49-F238E27FC236}">
              <a16:creationId xmlns:a16="http://schemas.microsoft.com/office/drawing/2014/main" id="{00000000-0008-0000-0100-000044000000}"/>
            </a:ext>
          </a:extLst>
        </xdr:cNvPr>
        <xdr:cNvPicPr/>
      </xdr:nvPicPr>
      <xdr:blipFill>
        <a:blip xmlns:r="http://schemas.openxmlformats.org/officeDocument/2006/relationships" r:embed="rId67"/>
        <a:stretch/>
      </xdr:blipFill>
      <xdr:spPr>
        <a:xfrm>
          <a:off x="6883560" y="29338920"/>
          <a:ext cx="418320" cy="418320"/>
        </a:xfrm>
        <a:prstGeom prst="rect">
          <a:avLst/>
        </a:prstGeom>
        <a:ln w="0">
          <a:noFill/>
        </a:ln>
      </xdr:spPr>
    </xdr:pic>
    <xdr:clientData/>
  </xdr:twoCellAnchor>
  <xdr:twoCellAnchor editAs="oneCell">
    <xdr:from>
      <xdr:col>7</xdr:col>
      <xdr:colOff>0</xdr:colOff>
      <xdr:row>68</xdr:row>
      <xdr:rowOff>325800</xdr:rowOff>
    </xdr:from>
    <xdr:to>
      <xdr:col>7</xdr:col>
      <xdr:colOff>418320</xdr:colOff>
      <xdr:row>70</xdr:row>
      <xdr:rowOff>418350</xdr:rowOff>
    </xdr:to>
    <xdr:pic>
      <xdr:nvPicPr>
        <xdr:cNvPr id="69" name="Image 68" descr="Picture">
          <a:extLst>
            <a:ext uri="{FF2B5EF4-FFF2-40B4-BE49-F238E27FC236}">
              <a16:creationId xmlns:a16="http://schemas.microsoft.com/office/drawing/2014/main" id="{00000000-0008-0000-0100-000045000000}"/>
            </a:ext>
          </a:extLst>
        </xdr:cNvPr>
        <xdr:cNvPicPr/>
      </xdr:nvPicPr>
      <xdr:blipFill>
        <a:blip xmlns:r="http://schemas.openxmlformats.org/officeDocument/2006/relationships" r:embed="rId68"/>
        <a:stretch/>
      </xdr:blipFill>
      <xdr:spPr>
        <a:xfrm>
          <a:off x="6883560" y="29777040"/>
          <a:ext cx="418320" cy="418320"/>
        </a:xfrm>
        <a:prstGeom prst="rect">
          <a:avLst/>
        </a:prstGeom>
        <a:ln w="0">
          <a:noFill/>
        </a:ln>
      </xdr:spPr>
    </xdr:pic>
    <xdr:clientData/>
  </xdr:twoCellAnchor>
  <xdr:twoCellAnchor editAs="oneCell">
    <xdr:from>
      <xdr:col>7</xdr:col>
      <xdr:colOff>0</xdr:colOff>
      <xdr:row>69</xdr:row>
      <xdr:rowOff>325800</xdr:rowOff>
    </xdr:from>
    <xdr:to>
      <xdr:col>7</xdr:col>
      <xdr:colOff>418320</xdr:colOff>
      <xdr:row>70</xdr:row>
      <xdr:rowOff>418350</xdr:rowOff>
    </xdr:to>
    <xdr:pic>
      <xdr:nvPicPr>
        <xdr:cNvPr id="70" name="Image 69" descr="Picture">
          <a:extLst>
            <a:ext uri="{FF2B5EF4-FFF2-40B4-BE49-F238E27FC236}">
              <a16:creationId xmlns:a16="http://schemas.microsoft.com/office/drawing/2014/main" id="{00000000-0008-0000-0100-000046000000}"/>
            </a:ext>
          </a:extLst>
        </xdr:cNvPr>
        <xdr:cNvPicPr/>
      </xdr:nvPicPr>
      <xdr:blipFill>
        <a:blip xmlns:r="http://schemas.openxmlformats.org/officeDocument/2006/relationships" r:embed="rId69"/>
        <a:stretch/>
      </xdr:blipFill>
      <xdr:spPr>
        <a:xfrm>
          <a:off x="6883560" y="30215160"/>
          <a:ext cx="418320" cy="418320"/>
        </a:xfrm>
        <a:prstGeom prst="rect">
          <a:avLst/>
        </a:prstGeom>
        <a:ln w="0">
          <a:noFill/>
        </a:ln>
      </xdr:spPr>
    </xdr:pic>
    <xdr:clientData/>
  </xdr:twoCellAnchor>
  <xdr:twoCellAnchor editAs="oneCell">
    <xdr:from>
      <xdr:col>7</xdr:col>
      <xdr:colOff>0</xdr:colOff>
      <xdr:row>70</xdr:row>
      <xdr:rowOff>325800</xdr:rowOff>
    </xdr:from>
    <xdr:to>
      <xdr:col>7</xdr:col>
      <xdr:colOff>418320</xdr:colOff>
      <xdr:row>74</xdr:row>
      <xdr:rowOff>306000</xdr:rowOff>
    </xdr:to>
    <xdr:pic>
      <xdr:nvPicPr>
        <xdr:cNvPr id="71" name="Image 70" descr="Picture">
          <a:extLst>
            <a:ext uri="{FF2B5EF4-FFF2-40B4-BE49-F238E27FC236}">
              <a16:creationId xmlns:a16="http://schemas.microsoft.com/office/drawing/2014/main" id="{00000000-0008-0000-0100-000047000000}"/>
            </a:ext>
          </a:extLst>
        </xdr:cNvPr>
        <xdr:cNvPicPr/>
      </xdr:nvPicPr>
      <xdr:blipFill>
        <a:blip xmlns:r="http://schemas.openxmlformats.org/officeDocument/2006/relationships" r:embed="rId70"/>
        <a:stretch/>
      </xdr:blipFill>
      <xdr:spPr>
        <a:xfrm>
          <a:off x="6883560" y="30653280"/>
          <a:ext cx="418320" cy="418320"/>
        </a:xfrm>
        <a:prstGeom prst="rect">
          <a:avLst/>
        </a:prstGeom>
        <a:ln w="0">
          <a:noFill/>
        </a:ln>
      </xdr:spPr>
    </xdr:pic>
    <xdr:clientData/>
  </xdr:twoCellAnchor>
  <xdr:twoCellAnchor editAs="oneCell">
    <xdr:from>
      <xdr:col>7</xdr:col>
      <xdr:colOff>0</xdr:colOff>
      <xdr:row>71</xdr:row>
      <xdr:rowOff>325800</xdr:rowOff>
    </xdr:from>
    <xdr:to>
      <xdr:col>7</xdr:col>
      <xdr:colOff>418320</xdr:colOff>
      <xdr:row>74</xdr:row>
      <xdr:rowOff>418350</xdr:rowOff>
    </xdr:to>
    <xdr:pic>
      <xdr:nvPicPr>
        <xdr:cNvPr id="72" name="Image 71" descr="Picture">
          <a:extLst>
            <a:ext uri="{FF2B5EF4-FFF2-40B4-BE49-F238E27FC236}">
              <a16:creationId xmlns:a16="http://schemas.microsoft.com/office/drawing/2014/main" id="{00000000-0008-0000-0100-000048000000}"/>
            </a:ext>
          </a:extLst>
        </xdr:cNvPr>
        <xdr:cNvPicPr/>
      </xdr:nvPicPr>
      <xdr:blipFill>
        <a:blip xmlns:r="http://schemas.openxmlformats.org/officeDocument/2006/relationships" r:embed="rId71"/>
        <a:stretch/>
      </xdr:blipFill>
      <xdr:spPr>
        <a:xfrm>
          <a:off x="6883560" y="31091400"/>
          <a:ext cx="418320" cy="418680"/>
        </a:xfrm>
        <a:prstGeom prst="rect">
          <a:avLst/>
        </a:prstGeom>
        <a:ln w="0">
          <a:noFill/>
        </a:ln>
      </xdr:spPr>
    </xdr:pic>
    <xdr:clientData/>
  </xdr:twoCellAnchor>
  <xdr:twoCellAnchor editAs="oneCell">
    <xdr:from>
      <xdr:col>7</xdr:col>
      <xdr:colOff>0</xdr:colOff>
      <xdr:row>72</xdr:row>
      <xdr:rowOff>325800</xdr:rowOff>
    </xdr:from>
    <xdr:to>
      <xdr:col>7</xdr:col>
      <xdr:colOff>418320</xdr:colOff>
      <xdr:row>74</xdr:row>
      <xdr:rowOff>418350</xdr:rowOff>
    </xdr:to>
    <xdr:pic>
      <xdr:nvPicPr>
        <xdr:cNvPr id="73" name="Image 72" descr="Picture">
          <a:extLst>
            <a:ext uri="{FF2B5EF4-FFF2-40B4-BE49-F238E27FC236}">
              <a16:creationId xmlns:a16="http://schemas.microsoft.com/office/drawing/2014/main" id="{00000000-0008-0000-0100-000049000000}"/>
            </a:ext>
          </a:extLst>
        </xdr:cNvPr>
        <xdr:cNvPicPr/>
      </xdr:nvPicPr>
      <xdr:blipFill>
        <a:blip xmlns:r="http://schemas.openxmlformats.org/officeDocument/2006/relationships" r:embed="rId72"/>
        <a:stretch/>
      </xdr:blipFill>
      <xdr:spPr>
        <a:xfrm>
          <a:off x="6883560" y="31529880"/>
          <a:ext cx="418320" cy="418320"/>
        </a:xfrm>
        <a:prstGeom prst="rect">
          <a:avLst/>
        </a:prstGeom>
        <a:ln w="0">
          <a:noFill/>
        </a:ln>
      </xdr:spPr>
    </xdr:pic>
    <xdr:clientData/>
  </xdr:twoCellAnchor>
  <xdr:twoCellAnchor editAs="oneCell">
    <xdr:from>
      <xdr:col>7</xdr:col>
      <xdr:colOff>0</xdr:colOff>
      <xdr:row>73</xdr:row>
      <xdr:rowOff>325800</xdr:rowOff>
    </xdr:from>
    <xdr:to>
      <xdr:col>7</xdr:col>
      <xdr:colOff>418320</xdr:colOff>
      <xdr:row>74</xdr:row>
      <xdr:rowOff>417990</xdr:rowOff>
    </xdr:to>
    <xdr:pic>
      <xdr:nvPicPr>
        <xdr:cNvPr id="74" name="Image 73" descr="Picture">
          <a:extLst>
            <a:ext uri="{FF2B5EF4-FFF2-40B4-BE49-F238E27FC236}">
              <a16:creationId xmlns:a16="http://schemas.microsoft.com/office/drawing/2014/main" id="{00000000-0008-0000-0100-00004A000000}"/>
            </a:ext>
          </a:extLst>
        </xdr:cNvPr>
        <xdr:cNvPicPr/>
      </xdr:nvPicPr>
      <xdr:blipFill>
        <a:blip xmlns:r="http://schemas.openxmlformats.org/officeDocument/2006/relationships" r:embed="rId73"/>
        <a:stretch/>
      </xdr:blipFill>
      <xdr:spPr>
        <a:xfrm>
          <a:off x="6883560" y="31968000"/>
          <a:ext cx="418320" cy="417960"/>
        </a:xfrm>
        <a:prstGeom prst="rect">
          <a:avLst/>
        </a:prstGeom>
        <a:ln w="0">
          <a:noFill/>
        </a:ln>
      </xdr:spPr>
    </xdr:pic>
    <xdr:clientData/>
  </xdr:twoCellAnchor>
  <xdr:twoCellAnchor editAs="oneCell">
    <xdr:from>
      <xdr:col>7</xdr:col>
      <xdr:colOff>0</xdr:colOff>
      <xdr:row>74</xdr:row>
      <xdr:rowOff>325440</xdr:rowOff>
    </xdr:from>
    <xdr:to>
      <xdr:col>7</xdr:col>
      <xdr:colOff>418320</xdr:colOff>
      <xdr:row>80</xdr:row>
      <xdr:rowOff>305640</xdr:rowOff>
    </xdr:to>
    <xdr:pic>
      <xdr:nvPicPr>
        <xdr:cNvPr id="75" name="Image 74" descr="Picture">
          <a:extLst>
            <a:ext uri="{FF2B5EF4-FFF2-40B4-BE49-F238E27FC236}">
              <a16:creationId xmlns:a16="http://schemas.microsoft.com/office/drawing/2014/main" id="{00000000-0008-0000-0100-00004B000000}"/>
            </a:ext>
          </a:extLst>
        </xdr:cNvPr>
        <xdr:cNvPicPr/>
      </xdr:nvPicPr>
      <xdr:blipFill>
        <a:blip xmlns:r="http://schemas.openxmlformats.org/officeDocument/2006/relationships" r:embed="rId74"/>
        <a:stretch/>
      </xdr:blipFill>
      <xdr:spPr>
        <a:xfrm>
          <a:off x="6883560" y="32405760"/>
          <a:ext cx="418320" cy="418320"/>
        </a:xfrm>
        <a:prstGeom prst="rect">
          <a:avLst/>
        </a:prstGeom>
        <a:ln w="0">
          <a:noFill/>
        </a:ln>
      </xdr:spPr>
    </xdr:pic>
    <xdr:clientData/>
  </xdr:twoCellAnchor>
  <xdr:twoCellAnchor editAs="oneCell">
    <xdr:from>
      <xdr:col>7</xdr:col>
      <xdr:colOff>0</xdr:colOff>
      <xdr:row>75</xdr:row>
      <xdr:rowOff>325800</xdr:rowOff>
    </xdr:from>
    <xdr:to>
      <xdr:col>7</xdr:col>
      <xdr:colOff>418320</xdr:colOff>
      <xdr:row>80</xdr:row>
      <xdr:rowOff>418350</xdr:rowOff>
    </xdr:to>
    <xdr:pic>
      <xdr:nvPicPr>
        <xdr:cNvPr id="76" name="Image 75" descr="Picture">
          <a:extLst>
            <a:ext uri="{FF2B5EF4-FFF2-40B4-BE49-F238E27FC236}">
              <a16:creationId xmlns:a16="http://schemas.microsoft.com/office/drawing/2014/main" id="{00000000-0008-0000-0100-00004C000000}"/>
            </a:ext>
          </a:extLst>
        </xdr:cNvPr>
        <xdr:cNvPicPr/>
      </xdr:nvPicPr>
      <xdr:blipFill>
        <a:blip xmlns:r="http://schemas.openxmlformats.org/officeDocument/2006/relationships" r:embed="rId75"/>
        <a:stretch/>
      </xdr:blipFill>
      <xdr:spPr>
        <a:xfrm>
          <a:off x="6883560" y="32844240"/>
          <a:ext cx="418320" cy="418320"/>
        </a:xfrm>
        <a:prstGeom prst="rect">
          <a:avLst/>
        </a:prstGeom>
        <a:ln w="0">
          <a:noFill/>
        </a:ln>
      </xdr:spPr>
    </xdr:pic>
    <xdr:clientData/>
  </xdr:twoCellAnchor>
  <xdr:twoCellAnchor editAs="oneCell">
    <xdr:from>
      <xdr:col>7</xdr:col>
      <xdr:colOff>0</xdr:colOff>
      <xdr:row>76</xdr:row>
      <xdr:rowOff>325800</xdr:rowOff>
    </xdr:from>
    <xdr:to>
      <xdr:col>7</xdr:col>
      <xdr:colOff>418320</xdr:colOff>
      <xdr:row>80</xdr:row>
      <xdr:rowOff>418350</xdr:rowOff>
    </xdr:to>
    <xdr:pic>
      <xdr:nvPicPr>
        <xdr:cNvPr id="77" name="Image 76" descr="Picture">
          <a:extLst>
            <a:ext uri="{FF2B5EF4-FFF2-40B4-BE49-F238E27FC236}">
              <a16:creationId xmlns:a16="http://schemas.microsoft.com/office/drawing/2014/main" id="{00000000-0008-0000-0100-00004D000000}"/>
            </a:ext>
          </a:extLst>
        </xdr:cNvPr>
        <xdr:cNvPicPr/>
      </xdr:nvPicPr>
      <xdr:blipFill>
        <a:blip xmlns:r="http://schemas.openxmlformats.org/officeDocument/2006/relationships" r:embed="rId76"/>
        <a:stretch/>
      </xdr:blipFill>
      <xdr:spPr>
        <a:xfrm>
          <a:off x="6883560" y="33282360"/>
          <a:ext cx="418320" cy="418320"/>
        </a:xfrm>
        <a:prstGeom prst="rect">
          <a:avLst/>
        </a:prstGeom>
        <a:ln w="0">
          <a:noFill/>
        </a:ln>
      </xdr:spPr>
    </xdr:pic>
    <xdr:clientData/>
  </xdr:twoCellAnchor>
  <xdr:twoCellAnchor editAs="oneCell">
    <xdr:from>
      <xdr:col>7</xdr:col>
      <xdr:colOff>0</xdr:colOff>
      <xdr:row>77</xdr:row>
      <xdr:rowOff>325800</xdr:rowOff>
    </xdr:from>
    <xdr:to>
      <xdr:col>7</xdr:col>
      <xdr:colOff>418320</xdr:colOff>
      <xdr:row>80</xdr:row>
      <xdr:rowOff>418350</xdr:rowOff>
    </xdr:to>
    <xdr:pic>
      <xdr:nvPicPr>
        <xdr:cNvPr id="78" name="Image 77" descr="Picture">
          <a:extLst>
            <a:ext uri="{FF2B5EF4-FFF2-40B4-BE49-F238E27FC236}">
              <a16:creationId xmlns:a16="http://schemas.microsoft.com/office/drawing/2014/main" id="{00000000-0008-0000-0100-00004E000000}"/>
            </a:ext>
          </a:extLst>
        </xdr:cNvPr>
        <xdr:cNvPicPr/>
      </xdr:nvPicPr>
      <xdr:blipFill>
        <a:blip xmlns:r="http://schemas.openxmlformats.org/officeDocument/2006/relationships" r:embed="rId77"/>
        <a:stretch/>
      </xdr:blipFill>
      <xdr:spPr>
        <a:xfrm>
          <a:off x="6883560" y="33720480"/>
          <a:ext cx="418320" cy="418320"/>
        </a:xfrm>
        <a:prstGeom prst="rect">
          <a:avLst/>
        </a:prstGeom>
        <a:ln w="0">
          <a:noFill/>
        </a:ln>
      </xdr:spPr>
    </xdr:pic>
    <xdr:clientData/>
  </xdr:twoCellAnchor>
  <xdr:twoCellAnchor editAs="oneCell">
    <xdr:from>
      <xdr:col>7</xdr:col>
      <xdr:colOff>0</xdr:colOff>
      <xdr:row>78</xdr:row>
      <xdr:rowOff>325800</xdr:rowOff>
    </xdr:from>
    <xdr:to>
      <xdr:col>7</xdr:col>
      <xdr:colOff>418320</xdr:colOff>
      <xdr:row>80</xdr:row>
      <xdr:rowOff>418350</xdr:rowOff>
    </xdr:to>
    <xdr:pic>
      <xdr:nvPicPr>
        <xdr:cNvPr id="79" name="Image 78" descr="Picture">
          <a:extLst>
            <a:ext uri="{FF2B5EF4-FFF2-40B4-BE49-F238E27FC236}">
              <a16:creationId xmlns:a16="http://schemas.microsoft.com/office/drawing/2014/main" id="{00000000-0008-0000-0100-00004F000000}"/>
            </a:ext>
          </a:extLst>
        </xdr:cNvPr>
        <xdr:cNvPicPr/>
      </xdr:nvPicPr>
      <xdr:blipFill>
        <a:blip xmlns:r="http://schemas.openxmlformats.org/officeDocument/2006/relationships" r:embed="rId78"/>
        <a:stretch/>
      </xdr:blipFill>
      <xdr:spPr>
        <a:xfrm>
          <a:off x="6883560" y="34158600"/>
          <a:ext cx="418320" cy="418320"/>
        </a:xfrm>
        <a:prstGeom prst="rect">
          <a:avLst/>
        </a:prstGeom>
        <a:ln w="0">
          <a:noFill/>
        </a:ln>
      </xdr:spPr>
    </xdr:pic>
    <xdr:clientData/>
  </xdr:twoCellAnchor>
  <xdr:twoCellAnchor editAs="oneCell">
    <xdr:from>
      <xdr:col>7</xdr:col>
      <xdr:colOff>0</xdr:colOff>
      <xdr:row>79</xdr:row>
      <xdr:rowOff>325800</xdr:rowOff>
    </xdr:from>
    <xdr:to>
      <xdr:col>7</xdr:col>
      <xdr:colOff>418320</xdr:colOff>
      <xdr:row>80</xdr:row>
      <xdr:rowOff>418350</xdr:rowOff>
    </xdr:to>
    <xdr:pic>
      <xdr:nvPicPr>
        <xdr:cNvPr id="80" name="Image 79" descr="Picture">
          <a:extLst>
            <a:ext uri="{FF2B5EF4-FFF2-40B4-BE49-F238E27FC236}">
              <a16:creationId xmlns:a16="http://schemas.microsoft.com/office/drawing/2014/main" id="{00000000-0008-0000-0100-000050000000}"/>
            </a:ext>
          </a:extLst>
        </xdr:cNvPr>
        <xdr:cNvPicPr/>
      </xdr:nvPicPr>
      <xdr:blipFill>
        <a:blip xmlns:r="http://schemas.openxmlformats.org/officeDocument/2006/relationships" r:embed="rId79"/>
        <a:stretch/>
      </xdr:blipFill>
      <xdr:spPr>
        <a:xfrm>
          <a:off x="6883560" y="34596720"/>
          <a:ext cx="418320" cy="418320"/>
        </a:xfrm>
        <a:prstGeom prst="rect">
          <a:avLst/>
        </a:prstGeom>
        <a:ln w="0">
          <a:noFill/>
        </a:ln>
      </xdr:spPr>
    </xdr:pic>
    <xdr:clientData/>
  </xdr:twoCellAnchor>
  <xdr:twoCellAnchor editAs="oneCell">
    <xdr:from>
      <xdr:col>7</xdr:col>
      <xdr:colOff>0</xdr:colOff>
      <xdr:row>80</xdr:row>
      <xdr:rowOff>325800</xdr:rowOff>
    </xdr:from>
    <xdr:to>
      <xdr:col>7</xdr:col>
      <xdr:colOff>418320</xdr:colOff>
      <xdr:row>81</xdr:row>
      <xdr:rowOff>306000</xdr:rowOff>
    </xdr:to>
    <xdr:pic>
      <xdr:nvPicPr>
        <xdr:cNvPr id="81" name="Image 80" descr="Picture">
          <a:extLst>
            <a:ext uri="{FF2B5EF4-FFF2-40B4-BE49-F238E27FC236}">
              <a16:creationId xmlns:a16="http://schemas.microsoft.com/office/drawing/2014/main" id="{00000000-0008-0000-0100-000051000000}"/>
            </a:ext>
          </a:extLst>
        </xdr:cNvPr>
        <xdr:cNvPicPr/>
      </xdr:nvPicPr>
      <xdr:blipFill>
        <a:blip xmlns:r="http://schemas.openxmlformats.org/officeDocument/2006/relationships" r:embed="rId80"/>
        <a:stretch/>
      </xdr:blipFill>
      <xdr:spPr>
        <a:xfrm>
          <a:off x="6883560" y="35034840"/>
          <a:ext cx="418320" cy="418320"/>
        </a:xfrm>
        <a:prstGeom prst="rect">
          <a:avLst/>
        </a:prstGeom>
        <a:ln w="0">
          <a:noFill/>
        </a:ln>
      </xdr:spPr>
    </xdr:pic>
    <xdr:clientData/>
  </xdr:twoCellAnchor>
  <xdr:twoCellAnchor editAs="oneCell">
    <xdr:from>
      <xdr:col>7</xdr:col>
      <xdr:colOff>0</xdr:colOff>
      <xdr:row>81</xdr:row>
      <xdr:rowOff>325800</xdr:rowOff>
    </xdr:from>
    <xdr:to>
      <xdr:col>7</xdr:col>
      <xdr:colOff>418320</xdr:colOff>
      <xdr:row>82</xdr:row>
      <xdr:rowOff>306000</xdr:rowOff>
    </xdr:to>
    <xdr:pic>
      <xdr:nvPicPr>
        <xdr:cNvPr id="82" name="Image 81" descr="Picture">
          <a:extLst>
            <a:ext uri="{FF2B5EF4-FFF2-40B4-BE49-F238E27FC236}">
              <a16:creationId xmlns:a16="http://schemas.microsoft.com/office/drawing/2014/main" id="{00000000-0008-0000-0100-000052000000}"/>
            </a:ext>
          </a:extLst>
        </xdr:cNvPr>
        <xdr:cNvPicPr/>
      </xdr:nvPicPr>
      <xdr:blipFill>
        <a:blip xmlns:r="http://schemas.openxmlformats.org/officeDocument/2006/relationships" r:embed="rId81"/>
        <a:stretch/>
      </xdr:blipFill>
      <xdr:spPr>
        <a:xfrm>
          <a:off x="6883560" y="35472960"/>
          <a:ext cx="418320" cy="418320"/>
        </a:xfrm>
        <a:prstGeom prst="rect">
          <a:avLst/>
        </a:prstGeom>
        <a:ln w="0">
          <a:noFill/>
        </a:ln>
      </xdr:spPr>
    </xdr:pic>
    <xdr:clientData/>
  </xdr:twoCellAnchor>
  <xdr:twoCellAnchor editAs="oneCell">
    <xdr:from>
      <xdr:col>7</xdr:col>
      <xdr:colOff>0</xdr:colOff>
      <xdr:row>82</xdr:row>
      <xdr:rowOff>325800</xdr:rowOff>
    </xdr:from>
    <xdr:to>
      <xdr:col>7</xdr:col>
      <xdr:colOff>418320</xdr:colOff>
      <xdr:row>83</xdr:row>
      <xdr:rowOff>306000</xdr:rowOff>
    </xdr:to>
    <xdr:pic>
      <xdr:nvPicPr>
        <xdr:cNvPr id="83" name="Image 82" descr="Picture">
          <a:extLst>
            <a:ext uri="{FF2B5EF4-FFF2-40B4-BE49-F238E27FC236}">
              <a16:creationId xmlns:a16="http://schemas.microsoft.com/office/drawing/2014/main" id="{00000000-0008-0000-0100-000053000000}"/>
            </a:ext>
          </a:extLst>
        </xdr:cNvPr>
        <xdr:cNvPicPr/>
      </xdr:nvPicPr>
      <xdr:blipFill>
        <a:blip xmlns:r="http://schemas.openxmlformats.org/officeDocument/2006/relationships" r:embed="rId82"/>
        <a:stretch/>
      </xdr:blipFill>
      <xdr:spPr>
        <a:xfrm>
          <a:off x="6883560" y="35911080"/>
          <a:ext cx="418320" cy="418320"/>
        </a:xfrm>
        <a:prstGeom prst="rect">
          <a:avLst/>
        </a:prstGeom>
        <a:ln w="0">
          <a:noFill/>
        </a:ln>
      </xdr:spPr>
    </xdr:pic>
    <xdr:clientData/>
  </xdr:twoCellAnchor>
  <xdr:twoCellAnchor editAs="oneCell">
    <xdr:from>
      <xdr:col>7</xdr:col>
      <xdr:colOff>0</xdr:colOff>
      <xdr:row>83</xdr:row>
      <xdr:rowOff>325800</xdr:rowOff>
    </xdr:from>
    <xdr:to>
      <xdr:col>7</xdr:col>
      <xdr:colOff>418320</xdr:colOff>
      <xdr:row>90</xdr:row>
      <xdr:rowOff>306000</xdr:rowOff>
    </xdr:to>
    <xdr:pic>
      <xdr:nvPicPr>
        <xdr:cNvPr id="84" name="Image 83" descr="Picture">
          <a:extLst>
            <a:ext uri="{FF2B5EF4-FFF2-40B4-BE49-F238E27FC236}">
              <a16:creationId xmlns:a16="http://schemas.microsoft.com/office/drawing/2014/main" id="{00000000-0008-0000-0100-000054000000}"/>
            </a:ext>
          </a:extLst>
        </xdr:cNvPr>
        <xdr:cNvPicPr/>
      </xdr:nvPicPr>
      <xdr:blipFill>
        <a:blip xmlns:r="http://schemas.openxmlformats.org/officeDocument/2006/relationships" r:embed="rId83"/>
        <a:stretch/>
      </xdr:blipFill>
      <xdr:spPr>
        <a:xfrm>
          <a:off x="6883560" y="36349200"/>
          <a:ext cx="418320" cy="418680"/>
        </a:xfrm>
        <a:prstGeom prst="rect">
          <a:avLst/>
        </a:prstGeom>
        <a:ln w="0">
          <a:noFill/>
        </a:ln>
      </xdr:spPr>
    </xdr:pic>
    <xdr:clientData/>
  </xdr:twoCellAnchor>
  <xdr:twoCellAnchor editAs="oneCell">
    <xdr:from>
      <xdr:col>7</xdr:col>
      <xdr:colOff>0</xdr:colOff>
      <xdr:row>84</xdr:row>
      <xdr:rowOff>325800</xdr:rowOff>
    </xdr:from>
    <xdr:to>
      <xdr:col>7</xdr:col>
      <xdr:colOff>418320</xdr:colOff>
      <xdr:row>90</xdr:row>
      <xdr:rowOff>418350</xdr:rowOff>
    </xdr:to>
    <xdr:pic>
      <xdr:nvPicPr>
        <xdr:cNvPr id="85" name="Image 84" descr="Picture">
          <a:extLst>
            <a:ext uri="{FF2B5EF4-FFF2-40B4-BE49-F238E27FC236}">
              <a16:creationId xmlns:a16="http://schemas.microsoft.com/office/drawing/2014/main" id="{00000000-0008-0000-0100-000055000000}"/>
            </a:ext>
          </a:extLst>
        </xdr:cNvPr>
        <xdr:cNvPicPr/>
      </xdr:nvPicPr>
      <xdr:blipFill>
        <a:blip xmlns:r="http://schemas.openxmlformats.org/officeDocument/2006/relationships" r:embed="rId84"/>
        <a:stretch/>
      </xdr:blipFill>
      <xdr:spPr>
        <a:xfrm>
          <a:off x="6883560" y="36787680"/>
          <a:ext cx="418320" cy="418320"/>
        </a:xfrm>
        <a:prstGeom prst="rect">
          <a:avLst/>
        </a:prstGeom>
        <a:ln w="0">
          <a:noFill/>
        </a:ln>
      </xdr:spPr>
    </xdr:pic>
    <xdr:clientData/>
  </xdr:twoCellAnchor>
  <xdr:twoCellAnchor editAs="oneCell">
    <xdr:from>
      <xdr:col>7</xdr:col>
      <xdr:colOff>0</xdr:colOff>
      <xdr:row>85</xdr:row>
      <xdr:rowOff>325800</xdr:rowOff>
    </xdr:from>
    <xdr:to>
      <xdr:col>7</xdr:col>
      <xdr:colOff>418320</xdr:colOff>
      <xdr:row>90</xdr:row>
      <xdr:rowOff>417990</xdr:rowOff>
    </xdr:to>
    <xdr:pic>
      <xdr:nvPicPr>
        <xdr:cNvPr id="86" name="Image 85" descr="Picture">
          <a:extLst>
            <a:ext uri="{FF2B5EF4-FFF2-40B4-BE49-F238E27FC236}">
              <a16:creationId xmlns:a16="http://schemas.microsoft.com/office/drawing/2014/main" id="{00000000-0008-0000-0100-000056000000}"/>
            </a:ext>
          </a:extLst>
        </xdr:cNvPr>
        <xdr:cNvPicPr/>
      </xdr:nvPicPr>
      <xdr:blipFill>
        <a:blip xmlns:r="http://schemas.openxmlformats.org/officeDocument/2006/relationships" r:embed="rId85"/>
        <a:stretch/>
      </xdr:blipFill>
      <xdr:spPr>
        <a:xfrm>
          <a:off x="6883560" y="37225800"/>
          <a:ext cx="418320" cy="417960"/>
        </a:xfrm>
        <a:prstGeom prst="rect">
          <a:avLst/>
        </a:prstGeom>
        <a:ln w="0">
          <a:noFill/>
        </a:ln>
      </xdr:spPr>
    </xdr:pic>
    <xdr:clientData/>
  </xdr:twoCellAnchor>
  <xdr:twoCellAnchor editAs="oneCell">
    <xdr:from>
      <xdr:col>7</xdr:col>
      <xdr:colOff>0</xdr:colOff>
      <xdr:row>86</xdr:row>
      <xdr:rowOff>325440</xdr:rowOff>
    </xdr:from>
    <xdr:to>
      <xdr:col>7</xdr:col>
      <xdr:colOff>418320</xdr:colOff>
      <xdr:row>90</xdr:row>
      <xdr:rowOff>418350</xdr:rowOff>
    </xdr:to>
    <xdr:pic>
      <xdr:nvPicPr>
        <xdr:cNvPr id="87" name="Image 86" descr="Picture">
          <a:extLst>
            <a:ext uri="{FF2B5EF4-FFF2-40B4-BE49-F238E27FC236}">
              <a16:creationId xmlns:a16="http://schemas.microsoft.com/office/drawing/2014/main" id="{00000000-0008-0000-0100-000057000000}"/>
            </a:ext>
          </a:extLst>
        </xdr:cNvPr>
        <xdr:cNvPicPr/>
      </xdr:nvPicPr>
      <xdr:blipFill>
        <a:blip xmlns:r="http://schemas.openxmlformats.org/officeDocument/2006/relationships" r:embed="rId86"/>
        <a:stretch/>
      </xdr:blipFill>
      <xdr:spPr>
        <a:xfrm>
          <a:off x="6883560" y="37663560"/>
          <a:ext cx="418320" cy="418320"/>
        </a:xfrm>
        <a:prstGeom prst="rect">
          <a:avLst/>
        </a:prstGeom>
        <a:ln w="0">
          <a:noFill/>
        </a:ln>
      </xdr:spPr>
    </xdr:pic>
    <xdr:clientData/>
  </xdr:twoCellAnchor>
  <xdr:twoCellAnchor editAs="oneCell">
    <xdr:from>
      <xdr:col>7</xdr:col>
      <xdr:colOff>0</xdr:colOff>
      <xdr:row>87</xdr:row>
      <xdr:rowOff>325800</xdr:rowOff>
    </xdr:from>
    <xdr:to>
      <xdr:col>7</xdr:col>
      <xdr:colOff>418320</xdr:colOff>
      <xdr:row>90</xdr:row>
      <xdr:rowOff>418350</xdr:rowOff>
    </xdr:to>
    <xdr:pic>
      <xdr:nvPicPr>
        <xdr:cNvPr id="88" name="Image 87" descr="Picture">
          <a:extLst>
            <a:ext uri="{FF2B5EF4-FFF2-40B4-BE49-F238E27FC236}">
              <a16:creationId xmlns:a16="http://schemas.microsoft.com/office/drawing/2014/main" id="{00000000-0008-0000-0100-000058000000}"/>
            </a:ext>
          </a:extLst>
        </xdr:cNvPr>
        <xdr:cNvPicPr/>
      </xdr:nvPicPr>
      <xdr:blipFill>
        <a:blip xmlns:r="http://schemas.openxmlformats.org/officeDocument/2006/relationships" r:embed="rId87"/>
        <a:stretch/>
      </xdr:blipFill>
      <xdr:spPr>
        <a:xfrm>
          <a:off x="6883560" y="38102040"/>
          <a:ext cx="418320" cy="418320"/>
        </a:xfrm>
        <a:prstGeom prst="rect">
          <a:avLst/>
        </a:prstGeom>
        <a:ln w="0">
          <a:noFill/>
        </a:ln>
      </xdr:spPr>
    </xdr:pic>
    <xdr:clientData/>
  </xdr:twoCellAnchor>
  <xdr:twoCellAnchor editAs="oneCell">
    <xdr:from>
      <xdr:col>7</xdr:col>
      <xdr:colOff>0</xdr:colOff>
      <xdr:row>88</xdr:row>
      <xdr:rowOff>325800</xdr:rowOff>
    </xdr:from>
    <xdr:to>
      <xdr:col>7</xdr:col>
      <xdr:colOff>418320</xdr:colOff>
      <xdr:row>90</xdr:row>
      <xdr:rowOff>418350</xdr:rowOff>
    </xdr:to>
    <xdr:pic>
      <xdr:nvPicPr>
        <xdr:cNvPr id="89" name="Image 88" descr="Picture">
          <a:extLst>
            <a:ext uri="{FF2B5EF4-FFF2-40B4-BE49-F238E27FC236}">
              <a16:creationId xmlns:a16="http://schemas.microsoft.com/office/drawing/2014/main" id="{00000000-0008-0000-0100-000059000000}"/>
            </a:ext>
          </a:extLst>
        </xdr:cNvPr>
        <xdr:cNvPicPr/>
      </xdr:nvPicPr>
      <xdr:blipFill>
        <a:blip xmlns:r="http://schemas.openxmlformats.org/officeDocument/2006/relationships" r:embed="rId88"/>
        <a:stretch/>
      </xdr:blipFill>
      <xdr:spPr>
        <a:xfrm>
          <a:off x="6883560" y="38540160"/>
          <a:ext cx="418320" cy="418320"/>
        </a:xfrm>
        <a:prstGeom prst="rect">
          <a:avLst/>
        </a:prstGeom>
        <a:ln w="0">
          <a:noFill/>
        </a:ln>
      </xdr:spPr>
    </xdr:pic>
    <xdr:clientData/>
  </xdr:twoCellAnchor>
  <xdr:twoCellAnchor editAs="oneCell">
    <xdr:from>
      <xdr:col>7</xdr:col>
      <xdr:colOff>0</xdr:colOff>
      <xdr:row>89</xdr:row>
      <xdr:rowOff>325800</xdr:rowOff>
    </xdr:from>
    <xdr:to>
      <xdr:col>7</xdr:col>
      <xdr:colOff>418320</xdr:colOff>
      <xdr:row>90</xdr:row>
      <xdr:rowOff>418350</xdr:rowOff>
    </xdr:to>
    <xdr:pic>
      <xdr:nvPicPr>
        <xdr:cNvPr id="90" name="Image 89" descr="Picture">
          <a:extLst>
            <a:ext uri="{FF2B5EF4-FFF2-40B4-BE49-F238E27FC236}">
              <a16:creationId xmlns:a16="http://schemas.microsoft.com/office/drawing/2014/main" id="{00000000-0008-0000-0100-00005A000000}"/>
            </a:ext>
          </a:extLst>
        </xdr:cNvPr>
        <xdr:cNvPicPr/>
      </xdr:nvPicPr>
      <xdr:blipFill>
        <a:blip xmlns:r="http://schemas.openxmlformats.org/officeDocument/2006/relationships" r:embed="rId89"/>
        <a:stretch/>
      </xdr:blipFill>
      <xdr:spPr>
        <a:xfrm>
          <a:off x="6883560" y="38978280"/>
          <a:ext cx="418320" cy="418320"/>
        </a:xfrm>
        <a:prstGeom prst="rect">
          <a:avLst/>
        </a:prstGeom>
        <a:ln w="0">
          <a:noFill/>
        </a:ln>
      </xdr:spPr>
    </xdr:pic>
    <xdr:clientData/>
  </xdr:twoCellAnchor>
  <xdr:twoCellAnchor editAs="oneCell">
    <xdr:from>
      <xdr:col>7</xdr:col>
      <xdr:colOff>0</xdr:colOff>
      <xdr:row>90</xdr:row>
      <xdr:rowOff>325800</xdr:rowOff>
    </xdr:from>
    <xdr:to>
      <xdr:col>7</xdr:col>
      <xdr:colOff>418320</xdr:colOff>
      <xdr:row>92</xdr:row>
      <xdr:rowOff>306000</xdr:rowOff>
    </xdr:to>
    <xdr:pic>
      <xdr:nvPicPr>
        <xdr:cNvPr id="91" name="Image 90" descr="Picture">
          <a:extLst>
            <a:ext uri="{FF2B5EF4-FFF2-40B4-BE49-F238E27FC236}">
              <a16:creationId xmlns:a16="http://schemas.microsoft.com/office/drawing/2014/main" id="{00000000-0008-0000-0100-00005B000000}"/>
            </a:ext>
          </a:extLst>
        </xdr:cNvPr>
        <xdr:cNvPicPr/>
      </xdr:nvPicPr>
      <xdr:blipFill>
        <a:blip xmlns:r="http://schemas.openxmlformats.org/officeDocument/2006/relationships" r:embed="rId90"/>
        <a:stretch/>
      </xdr:blipFill>
      <xdr:spPr>
        <a:xfrm>
          <a:off x="6883560" y="39416400"/>
          <a:ext cx="418320" cy="418320"/>
        </a:xfrm>
        <a:prstGeom prst="rect">
          <a:avLst/>
        </a:prstGeom>
        <a:ln w="0">
          <a:noFill/>
        </a:ln>
      </xdr:spPr>
    </xdr:pic>
    <xdr:clientData/>
  </xdr:twoCellAnchor>
  <xdr:twoCellAnchor editAs="oneCell">
    <xdr:from>
      <xdr:col>7</xdr:col>
      <xdr:colOff>0</xdr:colOff>
      <xdr:row>91</xdr:row>
      <xdr:rowOff>325800</xdr:rowOff>
    </xdr:from>
    <xdr:to>
      <xdr:col>7</xdr:col>
      <xdr:colOff>418320</xdr:colOff>
      <xdr:row>92</xdr:row>
      <xdr:rowOff>418350</xdr:rowOff>
    </xdr:to>
    <xdr:pic>
      <xdr:nvPicPr>
        <xdr:cNvPr id="92" name="Image 91" descr="Picture">
          <a:extLst>
            <a:ext uri="{FF2B5EF4-FFF2-40B4-BE49-F238E27FC236}">
              <a16:creationId xmlns:a16="http://schemas.microsoft.com/office/drawing/2014/main" id="{00000000-0008-0000-0100-00005C000000}"/>
            </a:ext>
          </a:extLst>
        </xdr:cNvPr>
        <xdr:cNvPicPr/>
      </xdr:nvPicPr>
      <xdr:blipFill>
        <a:blip xmlns:r="http://schemas.openxmlformats.org/officeDocument/2006/relationships" r:embed="rId91"/>
        <a:stretch/>
      </xdr:blipFill>
      <xdr:spPr>
        <a:xfrm>
          <a:off x="6883560" y="39854520"/>
          <a:ext cx="418320" cy="418320"/>
        </a:xfrm>
        <a:prstGeom prst="rect">
          <a:avLst/>
        </a:prstGeom>
        <a:ln w="0">
          <a:noFill/>
        </a:ln>
      </xdr:spPr>
    </xdr:pic>
    <xdr:clientData/>
  </xdr:twoCellAnchor>
  <xdr:twoCellAnchor editAs="oneCell">
    <xdr:from>
      <xdr:col>7</xdr:col>
      <xdr:colOff>0</xdr:colOff>
      <xdr:row>92</xdr:row>
      <xdr:rowOff>325800</xdr:rowOff>
    </xdr:from>
    <xdr:to>
      <xdr:col>7</xdr:col>
      <xdr:colOff>418320</xdr:colOff>
      <xdr:row>94</xdr:row>
      <xdr:rowOff>306000</xdr:rowOff>
    </xdr:to>
    <xdr:pic>
      <xdr:nvPicPr>
        <xdr:cNvPr id="93" name="Image 92" descr="Picture">
          <a:extLst>
            <a:ext uri="{FF2B5EF4-FFF2-40B4-BE49-F238E27FC236}">
              <a16:creationId xmlns:a16="http://schemas.microsoft.com/office/drawing/2014/main" id="{00000000-0008-0000-0100-00005D000000}"/>
            </a:ext>
          </a:extLst>
        </xdr:cNvPr>
        <xdr:cNvPicPr/>
      </xdr:nvPicPr>
      <xdr:blipFill>
        <a:blip xmlns:r="http://schemas.openxmlformats.org/officeDocument/2006/relationships" r:embed="rId92"/>
        <a:stretch/>
      </xdr:blipFill>
      <xdr:spPr>
        <a:xfrm>
          <a:off x="6883560" y="40292640"/>
          <a:ext cx="418320" cy="418320"/>
        </a:xfrm>
        <a:prstGeom prst="rect">
          <a:avLst/>
        </a:prstGeom>
        <a:ln w="0">
          <a:noFill/>
        </a:ln>
      </xdr:spPr>
    </xdr:pic>
    <xdr:clientData/>
  </xdr:twoCellAnchor>
  <xdr:twoCellAnchor editAs="oneCell">
    <xdr:from>
      <xdr:col>7</xdr:col>
      <xdr:colOff>0</xdr:colOff>
      <xdr:row>93</xdr:row>
      <xdr:rowOff>325800</xdr:rowOff>
    </xdr:from>
    <xdr:to>
      <xdr:col>7</xdr:col>
      <xdr:colOff>418320</xdr:colOff>
      <xdr:row>94</xdr:row>
      <xdr:rowOff>418350</xdr:rowOff>
    </xdr:to>
    <xdr:pic>
      <xdr:nvPicPr>
        <xdr:cNvPr id="94" name="Image 93" descr="Picture">
          <a:extLst>
            <a:ext uri="{FF2B5EF4-FFF2-40B4-BE49-F238E27FC236}">
              <a16:creationId xmlns:a16="http://schemas.microsoft.com/office/drawing/2014/main" id="{00000000-0008-0000-0100-00005E000000}"/>
            </a:ext>
          </a:extLst>
        </xdr:cNvPr>
        <xdr:cNvPicPr/>
      </xdr:nvPicPr>
      <xdr:blipFill>
        <a:blip xmlns:r="http://schemas.openxmlformats.org/officeDocument/2006/relationships" r:embed="rId93"/>
        <a:stretch/>
      </xdr:blipFill>
      <xdr:spPr>
        <a:xfrm>
          <a:off x="6883560" y="40730760"/>
          <a:ext cx="418320" cy="418320"/>
        </a:xfrm>
        <a:prstGeom prst="rect">
          <a:avLst/>
        </a:prstGeom>
        <a:ln w="0">
          <a:noFill/>
        </a:ln>
      </xdr:spPr>
    </xdr:pic>
    <xdr:clientData/>
  </xdr:twoCellAnchor>
  <xdr:twoCellAnchor editAs="oneCell">
    <xdr:from>
      <xdr:col>7</xdr:col>
      <xdr:colOff>0</xdr:colOff>
      <xdr:row>94</xdr:row>
      <xdr:rowOff>325800</xdr:rowOff>
    </xdr:from>
    <xdr:to>
      <xdr:col>7</xdr:col>
      <xdr:colOff>418320</xdr:colOff>
      <xdr:row>102</xdr:row>
      <xdr:rowOff>306000</xdr:rowOff>
    </xdr:to>
    <xdr:pic>
      <xdr:nvPicPr>
        <xdr:cNvPr id="95" name="Image 94" descr="Picture">
          <a:extLst>
            <a:ext uri="{FF2B5EF4-FFF2-40B4-BE49-F238E27FC236}">
              <a16:creationId xmlns:a16="http://schemas.microsoft.com/office/drawing/2014/main" id="{00000000-0008-0000-0100-00005F000000}"/>
            </a:ext>
          </a:extLst>
        </xdr:cNvPr>
        <xdr:cNvPicPr/>
      </xdr:nvPicPr>
      <xdr:blipFill>
        <a:blip xmlns:r="http://schemas.openxmlformats.org/officeDocument/2006/relationships" r:embed="rId94"/>
        <a:stretch/>
      </xdr:blipFill>
      <xdr:spPr>
        <a:xfrm>
          <a:off x="6883560" y="41168880"/>
          <a:ext cx="418320" cy="418320"/>
        </a:xfrm>
        <a:prstGeom prst="rect">
          <a:avLst/>
        </a:prstGeom>
        <a:ln w="0">
          <a:noFill/>
        </a:ln>
      </xdr:spPr>
    </xdr:pic>
    <xdr:clientData/>
  </xdr:twoCellAnchor>
  <xdr:twoCellAnchor editAs="oneCell">
    <xdr:from>
      <xdr:col>7</xdr:col>
      <xdr:colOff>0</xdr:colOff>
      <xdr:row>95</xdr:row>
      <xdr:rowOff>325800</xdr:rowOff>
    </xdr:from>
    <xdr:to>
      <xdr:col>7</xdr:col>
      <xdr:colOff>418320</xdr:colOff>
      <xdr:row>102</xdr:row>
      <xdr:rowOff>418350</xdr:rowOff>
    </xdr:to>
    <xdr:pic>
      <xdr:nvPicPr>
        <xdr:cNvPr id="96" name="Image 95" descr="Picture">
          <a:extLst>
            <a:ext uri="{FF2B5EF4-FFF2-40B4-BE49-F238E27FC236}">
              <a16:creationId xmlns:a16="http://schemas.microsoft.com/office/drawing/2014/main" id="{00000000-0008-0000-0100-000060000000}"/>
            </a:ext>
          </a:extLst>
        </xdr:cNvPr>
        <xdr:cNvPicPr/>
      </xdr:nvPicPr>
      <xdr:blipFill>
        <a:blip xmlns:r="http://schemas.openxmlformats.org/officeDocument/2006/relationships" r:embed="rId95"/>
        <a:stretch/>
      </xdr:blipFill>
      <xdr:spPr>
        <a:xfrm>
          <a:off x="6883560" y="41607000"/>
          <a:ext cx="418320" cy="418680"/>
        </a:xfrm>
        <a:prstGeom prst="rect">
          <a:avLst/>
        </a:prstGeom>
        <a:ln w="0">
          <a:noFill/>
        </a:ln>
      </xdr:spPr>
    </xdr:pic>
    <xdr:clientData/>
  </xdr:twoCellAnchor>
  <xdr:twoCellAnchor editAs="oneCell">
    <xdr:from>
      <xdr:col>7</xdr:col>
      <xdr:colOff>0</xdr:colOff>
      <xdr:row>96</xdr:row>
      <xdr:rowOff>325800</xdr:rowOff>
    </xdr:from>
    <xdr:to>
      <xdr:col>7</xdr:col>
      <xdr:colOff>418320</xdr:colOff>
      <xdr:row>102</xdr:row>
      <xdr:rowOff>418350</xdr:rowOff>
    </xdr:to>
    <xdr:pic>
      <xdr:nvPicPr>
        <xdr:cNvPr id="97" name="Image 96" descr="Picture">
          <a:extLst>
            <a:ext uri="{FF2B5EF4-FFF2-40B4-BE49-F238E27FC236}">
              <a16:creationId xmlns:a16="http://schemas.microsoft.com/office/drawing/2014/main" id="{00000000-0008-0000-0100-000061000000}"/>
            </a:ext>
          </a:extLst>
        </xdr:cNvPr>
        <xdr:cNvPicPr/>
      </xdr:nvPicPr>
      <xdr:blipFill>
        <a:blip xmlns:r="http://schemas.openxmlformats.org/officeDocument/2006/relationships" r:embed="rId96"/>
        <a:stretch/>
      </xdr:blipFill>
      <xdr:spPr>
        <a:xfrm>
          <a:off x="6883560" y="42045480"/>
          <a:ext cx="418320" cy="418320"/>
        </a:xfrm>
        <a:prstGeom prst="rect">
          <a:avLst/>
        </a:prstGeom>
        <a:ln w="0">
          <a:noFill/>
        </a:ln>
      </xdr:spPr>
    </xdr:pic>
    <xdr:clientData/>
  </xdr:twoCellAnchor>
  <xdr:twoCellAnchor editAs="oneCell">
    <xdr:from>
      <xdr:col>7</xdr:col>
      <xdr:colOff>0</xdr:colOff>
      <xdr:row>97</xdr:row>
      <xdr:rowOff>325800</xdr:rowOff>
    </xdr:from>
    <xdr:to>
      <xdr:col>7</xdr:col>
      <xdr:colOff>418320</xdr:colOff>
      <xdr:row>102</xdr:row>
      <xdr:rowOff>417990</xdr:rowOff>
    </xdr:to>
    <xdr:pic>
      <xdr:nvPicPr>
        <xdr:cNvPr id="98" name="Image 97" descr="Picture">
          <a:extLst>
            <a:ext uri="{FF2B5EF4-FFF2-40B4-BE49-F238E27FC236}">
              <a16:creationId xmlns:a16="http://schemas.microsoft.com/office/drawing/2014/main" id="{00000000-0008-0000-0100-000062000000}"/>
            </a:ext>
          </a:extLst>
        </xdr:cNvPr>
        <xdr:cNvPicPr/>
      </xdr:nvPicPr>
      <xdr:blipFill>
        <a:blip xmlns:r="http://schemas.openxmlformats.org/officeDocument/2006/relationships" r:embed="rId97"/>
        <a:stretch/>
      </xdr:blipFill>
      <xdr:spPr>
        <a:xfrm>
          <a:off x="6883560" y="42483600"/>
          <a:ext cx="418320" cy="417960"/>
        </a:xfrm>
        <a:prstGeom prst="rect">
          <a:avLst/>
        </a:prstGeom>
        <a:ln w="0">
          <a:noFill/>
        </a:ln>
      </xdr:spPr>
    </xdr:pic>
    <xdr:clientData/>
  </xdr:twoCellAnchor>
  <xdr:twoCellAnchor editAs="oneCell">
    <xdr:from>
      <xdr:col>7</xdr:col>
      <xdr:colOff>0</xdr:colOff>
      <xdr:row>98</xdr:row>
      <xdr:rowOff>325440</xdr:rowOff>
    </xdr:from>
    <xdr:to>
      <xdr:col>7</xdr:col>
      <xdr:colOff>418320</xdr:colOff>
      <xdr:row>102</xdr:row>
      <xdr:rowOff>418350</xdr:rowOff>
    </xdr:to>
    <xdr:pic>
      <xdr:nvPicPr>
        <xdr:cNvPr id="99" name="Image 98" descr="Picture">
          <a:extLst>
            <a:ext uri="{FF2B5EF4-FFF2-40B4-BE49-F238E27FC236}">
              <a16:creationId xmlns:a16="http://schemas.microsoft.com/office/drawing/2014/main" id="{00000000-0008-0000-0100-000063000000}"/>
            </a:ext>
          </a:extLst>
        </xdr:cNvPr>
        <xdr:cNvPicPr/>
      </xdr:nvPicPr>
      <xdr:blipFill>
        <a:blip xmlns:r="http://schemas.openxmlformats.org/officeDocument/2006/relationships" r:embed="rId98"/>
        <a:stretch/>
      </xdr:blipFill>
      <xdr:spPr>
        <a:xfrm>
          <a:off x="6883560" y="42921360"/>
          <a:ext cx="418320" cy="418320"/>
        </a:xfrm>
        <a:prstGeom prst="rect">
          <a:avLst/>
        </a:prstGeom>
        <a:ln w="0">
          <a:noFill/>
        </a:ln>
      </xdr:spPr>
    </xdr:pic>
    <xdr:clientData/>
  </xdr:twoCellAnchor>
  <xdr:twoCellAnchor editAs="oneCell">
    <xdr:from>
      <xdr:col>7</xdr:col>
      <xdr:colOff>0</xdr:colOff>
      <xdr:row>99</xdr:row>
      <xdr:rowOff>325800</xdr:rowOff>
    </xdr:from>
    <xdr:to>
      <xdr:col>7</xdr:col>
      <xdr:colOff>418320</xdr:colOff>
      <xdr:row>102</xdr:row>
      <xdr:rowOff>418350</xdr:rowOff>
    </xdr:to>
    <xdr:pic>
      <xdr:nvPicPr>
        <xdr:cNvPr id="100" name="Image 99" descr="Picture">
          <a:extLst>
            <a:ext uri="{FF2B5EF4-FFF2-40B4-BE49-F238E27FC236}">
              <a16:creationId xmlns:a16="http://schemas.microsoft.com/office/drawing/2014/main" id="{00000000-0008-0000-0100-000064000000}"/>
            </a:ext>
          </a:extLst>
        </xdr:cNvPr>
        <xdr:cNvPicPr/>
      </xdr:nvPicPr>
      <xdr:blipFill>
        <a:blip xmlns:r="http://schemas.openxmlformats.org/officeDocument/2006/relationships" r:embed="rId99"/>
        <a:stretch/>
      </xdr:blipFill>
      <xdr:spPr>
        <a:xfrm>
          <a:off x="6883560" y="43359840"/>
          <a:ext cx="418320" cy="418320"/>
        </a:xfrm>
        <a:prstGeom prst="rect">
          <a:avLst/>
        </a:prstGeom>
        <a:ln w="0">
          <a:noFill/>
        </a:ln>
      </xdr:spPr>
    </xdr:pic>
    <xdr:clientData/>
  </xdr:twoCellAnchor>
  <xdr:twoCellAnchor editAs="oneCell">
    <xdr:from>
      <xdr:col>7</xdr:col>
      <xdr:colOff>0</xdr:colOff>
      <xdr:row>100</xdr:row>
      <xdr:rowOff>325800</xdr:rowOff>
    </xdr:from>
    <xdr:to>
      <xdr:col>7</xdr:col>
      <xdr:colOff>418320</xdr:colOff>
      <xdr:row>102</xdr:row>
      <xdr:rowOff>418350</xdr:rowOff>
    </xdr:to>
    <xdr:pic>
      <xdr:nvPicPr>
        <xdr:cNvPr id="101" name="Image 100" descr="Picture">
          <a:extLst>
            <a:ext uri="{FF2B5EF4-FFF2-40B4-BE49-F238E27FC236}">
              <a16:creationId xmlns:a16="http://schemas.microsoft.com/office/drawing/2014/main" id="{00000000-0008-0000-0100-000065000000}"/>
            </a:ext>
          </a:extLst>
        </xdr:cNvPr>
        <xdr:cNvPicPr/>
      </xdr:nvPicPr>
      <xdr:blipFill>
        <a:blip xmlns:r="http://schemas.openxmlformats.org/officeDocument/2006/relationships" r:embed="rId100"/>
        <a:stretch/>
      </xdr:blipFill>
      <xdr:spPr>
        <a:xfrm>
          <a:off x="6883560" y="43797960"/>
          <a:ext cx="418320" cy="418320"/>
        </a:xfrm>
        <a:prstGeom prst="rect">
          <a:avLst/>
        </a:prstGeom>
        <a:ln w="0">
          <a:noFill/>
        </a:ln>
      </xdr:spPr>
    </xdr:pic>
    <xdr:clientData/>
  </xdr:twoCellAnchor>
  <xdr:twoCellAnchor editAs="oneCell">
    <xdr:from>
      <xdr:col>7</xdr:col>
      <xdr:colOff>0</xdr:colOff>
      <xdr:row>101</xdr:row>
      <xdr:rowOff>325800</xdr:rowOff>
    </xdr:from>
    <xdr:to>
      <xdr:col>7</xdr:col>
      <xdr:colOff>418320</xdr:colOff>
      <xdr:row>102</xdr:row>
      <xdr:rowOff>418350</xdr:rowOff>
    </xdr:to>
    <xdr:pic>
      <xdr:nvPicPr>
        <xdr:cNvPr id="102" name="Image 101" descr="Picture">
          <a:extLst>
            <a:ext uri="{FF2B5EF4-FFF2-40B4-BE49-F238E27FC236}">
              <a16:creationId xmlns:a16="http://schemas.microsoft.com/office/drawing/2014/main" id="{00000000-0008-0000-0100-000066000000}"/>
            </a:ext>
          </a:extLst>
        </xdr:cNvPr>
        <xdr:cNvPicPr/>
      </xdr:nvPicPr>
      <xdr:blipFill>
        <a:blip xmlns:r="http://schemas.openxmlformats.org/officeDocument/2006/relationships" r:embed="rId101"/>
        <a:stretch/>
      </xdr:blipFill>
      <xdr:spPr>
        <a:xfrm>
          <a:off x="6883560" y="44236080"/>
          <a:ext cx="418320" cy="418320"/>
        </a:xfrm>
        <a:prstGeom prst="rect">
          <a:avLst/>
        </a:prstGeom>
        <a:ln w="0">
          <a:noFill/>
        </a:ln>
      </xdr:spPr>
    </xdr:pic>
    <xdr:clientData/>
  </xdr:twoCellAnchor>
  <xdr:twoCellAnchor editAs="oneCell">
    <xdr:from>
      <xdr:col>7</xdr:col>
      <xdr:colOff>0</xdr:colOff>
      <xdr:row>102</xdr:row>
      <xdr:rowOff>325800</xdr:rowOff>
    </xdr:from>
    <xdr:to>
      <xdr:col>7</xdr:col>
      <xdr:colOff>418320</xdr:colOff>
      <xdr:row>103</xdr:row>
      <xdr:rowOff>306000</xdr:rowOff>
    </xdr:to>
    <xdr:pic>
      <xdr:nvPicPr>
        <xdr:cNvPr id="103" name="Image 102" descr="Picture">
          <a:extLst>
            <a:ext uri="{FF2B5EF4-FFF2-40B4-BE49-F238E27FC236}">
              <a16:creationId xmlns:a16="http://schemas.microsoft.com/office/drawing/2014/main" id="{00000000-0008-0000-0100-000067000000}"/>
            </a:ext>
          </a:extLst>
        </xdr:cNvPr>
        <xdr:cNvPicPr/>
      </xdr:nvPicPr>
      <xdr:blipFill>
        <a:blip xmlns:r="http://schemas.openxmlformats.org/officeDocument/2006/relationships" r:embed="rId102"/>
        <a:stretch/>
      </xdr:blipFill>
      <xdr:spPr>
        <a:xfrm>
          <a:off x="6883560" y="44674200"/>
          <a:ext cx="418320" cy="418320"/>
        </a:xfrm>
        <a:prstGeom prst="rect">
          <a:avLst/>
        </a:prstGeom>
        <a:ln w="0">
          <a:noFill/>
        </a:ln>
      </xdr:spPr>
    </xdr:pic>
    <xdr:clientData/>
  </xdr:twoCellAnchor>
  <xdr:twoCellAnchor editAs="oneCell">
    <xdr:from>
      <xdr:col>7</xdr:col>
      <xdr:colOff>0</xdr:colOff>
      <xdr:row>103</xdr:row>
      <xdr:rowOff>325800</xdr:rowOff>
    </xdr:from>
    <xdr:to>
      <xdr:col>7</xdr:col>
      <xdr:colOff>418320</xdr:colOff>
      <xdr:row>106</xdr:row>
      <xdr:rowOff>306000</xdr:rowOff>
    </xdr:to>
    <xdr:pic>
      <xdr:nvPicPr>
        <xdr:cNvPr id="104" name="Image 103" descr="Picture">
          <a:extLst>
            <a:ext uri="{FF2B5EF4-FFF2-40B4-BE49-F238E27FC236}">
              <a16:creationId xmlns:a16="http://schemas.microsoft.com/office/drawing/2014/main" id="{00000000-0008-0000-0100-000068000000}"/>
            </a:ext>
          </a:extLst>
        </xdr:cNvPr>
        <xdr:cNvPicPr/>
      </xdr:nvPicPr>
      <xdr:blipFill>
        <a:blip xmlns:r="http://schemas.openxmlformats.org/officeDocument/2006/relationships" r:embed="rId103"/>
        <a:stretch/>
      </xdr:blipFill>
      <xdr:spPr>
        <a:xfrm>
          <a:off x="6883560" y="45112320"/>
          <a:ext cx="418320" cy="418320"/>
        </a:xfrm>
        <a:prstGeom prst="rect">
          <a:avLst/>
        </a:prstGeom>
        <a:ln w="0">
          <a:noFill/>
        </a:ln>
      </xdr:spPr>
    </xdr:pic>
    <xdr:clientData/>
  </xdr:twoCellAnchor>
  <xdr:twoCellAnchor editAs="oneCell">
    <xdr:from>
      <xdr:col>7</xdr:col>
      <xdr:colOff>0</xdr:colOff>
      <xdr:row>104</xdr:row>
      <xdr:rowOff>325800</xdr:rowOff>
    </xdr:from>
    <xdr:to>
      <xdr:col>7</xdr:col>
      <xdr:colOff>418320</xdr:colOff>
      <xdr:row>106</xdr:row>
      <xdr:rowOff>418350</xdr:rowOff>
    </xdr:to>
    <xdr:pic>
      <xdr:nvPicPr>
        <xdr:cNvPr id="105" name="Image 104" descr="Picture">
          <a:extLst>
            <a:ext uri="{FF2B5EF4-FFF2-40B4-BE49-F238E27FC236}">
              <a16:creationId xmlns:a16="http://schemas.microsoft.com/office/drawing/2014/main" id="{00000000-0008-0000-0100-000069000000}"/>
            </a:ext>
          </a:extLst>
        </xdr:cNvPr>
        <xdr:cNvPicPr/>
      </xdr:nvPicPr>
      <xdr:blipFill>
        <a:blip xmlns:r="http://schemas.openxmlformats.org/officeDocument/2006/relationships" r:embed="rId104"/>
        <a:stretch/>
      </xdr:blipFill>
      <xdr:spPr>
        <a:xfrm>
          <a:off x="6883560" y="45550440"/>
          <a:ext cx="418320" cy="418320"/>
        </a:xfrm>
        <a:prstGeom prst="rect">
          <a:avLst/>
        </a:prstGeom>
        <a:ln w="0">
          <a:noFill/>
        </a:ln>
      </xdr:spPr>
    </xdr:pic>
    <xdr:clientData/>
  </xdr:twoCellAnchor>
  <xdr:twoCellAnchor editAs="oneCell">
    <xdr:from>
      <xdr:col>7</xdr:col>
      <xdr:colOff>0</xdr:colOff>
      <xdr:row>105</xdr:row>
      <xdr:rowOff>325800</xdr:rowOff>
    </xdr:from>
    <xdr:to>
      <xdr:col>7</xdr:col>
      <xdr:colOff>418320</xdr:colOff>
      <xdr:row>106</xdr:row>
      <xdr:rowOff>418350</xdr:rowOff>
    </xdr:to>
    <xdr:pic>
      <xdr:nvPicPr>
        <xdr:cNvPr id="106" name="Image 105" descr="Picture">
          <a:extLst>
            <a:ext uri="{FF2B5EF4-FFF2-40B4-BE49-F238E27FC236}">
              <a16:creationId xmlns:a16="http://schemas.microsoft.com/office/drawing/2014/main" id="{00000000-0008-0000-0100-00006A000000}"/>
            </a:ext>
          </a:extLst>
        </xdr:cNvPr>
        <xdr:cNvPicPr/>
      </xdr:nvPicPr>
      <xdr:blipFill>
        <a:blip xmlns:r="http://schemas.openxmlformats.org/officeDocument/2006/relationships" r:embed="rId105"/>
        <a:stretch/>
      </xdr:blipFill>
      <xdr:spPr>
        <a:xfrm>
          <a:off x="6883560" y="45988560"/>
          <a:ext cx="418320" cy="418320"/>
        </a:xfrm>
        <a:prstGeom prst="rect">
          <a:avLst/>
        </a:prstGeom>
        <a:ln w="0">
          <a:noFill/>
        </a:ln>
      </xdr:spPr>
    </xdr:pic>
    <xdr:clientData/>
  </xdr:twoCellAnchor>
  <xdr:twoCellAnchor editAs="oneCell">
    <xdr:from>
      <xdr:col>7</xdr:col>
      <xdr:colOff>0</xdr:colOff>
      <xdr:row>106</xdr:row>
      <xdr:rowOff>325800</xdr:rowOff>
    </xdr:from>
    <xdr:to>
      <xdr:col>7</xdr:col>
      <xdr:colOff>418320</xdr:colOff>
      <xdr:row>107</xdr:row>
      <xdr:rowOff>306000</xdr:rowOff>
    </xdr:to>
    <xdr:pic>
      <xdr:nvPicPr>
        <xdr:cNvPr id="107" name="Image 106" descr="Picture">
          <a:extLst>
            <a:ext uri="{FF2B5EF4-FFF2-40B4-BE49-F238E27FC236}">
              <a16:creationId xmlns:a16="http://schemas.microsoft.com/office/drawing/2014/main" id="{00000000-0008-0000-0100-00006B000000}"/>
            </a:ext>
          </a:extLst>
        </xdr:cNvPr>
        <xdr:cNvPicPr/>
      </xdr:nvPicPr>
      <xdr:blipFill>
        <a:blip xmlns:r="http://schemas.openxmlformats.org/officeDocument/2006/relationships" r:embed="rId106"/>
        <a:stretch/>
      </xdr:blipFill>
      <xdr:spPr>
        <a:xfrm>
          <a:off x="6883560" y="46426680"/>
          <a:ext cx="418320" cy="418320"/>
        </a:xfrm>
        <a:prstGeom prst="rect">
          <a:avLst/>
        </a:prstGeom>
        <a:ln w="0">
          <a:noFill/>
        </a:ln>
      </xdr:spPr>
    </xdr:pic>
    <xdr:clientData/>
  </xdr:twoCellAnchor>
  <xdr:twoCellAnchor editAs="oneCell">
    <xdr:from>
      <xdr:col>7</xdr:col>
      <xdr:colOff>0</xdr:colOff>
      <xdr:row>107</xdr:row>
      <xdr:rowOff>325800</xdr:rowOff>
    </xdr:from>
    <xdr:to>
      <xdr:col>7</xdr:col>
      <xdr:colOff>418320</xdr:colOff>
      <xdr:row>108</xdr:row>
      <xdr:rowOff>306000</xdr:rowOff>
    </xdr:to>
    <xdr:pic>
      <xdr:nvPicPr>
        <xdr:cNvPr id="108" name="Image 107" descr="Picture">
          <a:extLst>
            <a:ext uri="{FF2B5EF4-FFF2-40B4-BE49-F238E27FC236}">
              <a16:creationId xmlns:a16="http://schemas.microsoft.com/office/drawing/2014/main" id="{00000000-0008-0000-0100-00006C000000}"/>
            </a:ext>
          </a:extLst>
        </xdr:cNvPr>
        <xdr:cNvPicPr/>
      </xdr:nvPicPr>
      <xdr:blipFill>
        <a:blip xmlns:r="http://schemas.openxmlformats.org/officeDocument/2006/relationships" r:embed="rId107"/>
        <a:stretch/>
      </xdr:blipFill>
      <xdr:spPr>
        <a:xfrm>
          <a:off x="6883560" y="46864800"/>
          <a:ext cx="418320" cy="418680"/>
        </a:xfrm>
        <a:prstGeom prst="rect">
          <a:avLst/>
        </a:prstGeom>
        <a:ln w="0">
          <a:noFill/>
        </a:ln>
      </xdr:spPr>
    </xdr:pic>
    <xdr:clientData/>
  </xdr:twoCellAnchor>
  <xdr:twoCellAnchor editAs="oneCell">
    <xdr:from>
      <xdr:col>7</xdr:col>
      <xdr:colOff>0</xdr:colOff>
      <xdr:row>108</xdr:row>
      <xdr:rowOff>325800</xdr:rowOff>
    </xdr:from>
    <xdr:to>
      <xdr:col>7</xdr:col>
      <xdr:colOff>418320</xdr:colOff>
      <xdr:row>111</xdr:row>
      <xdr:rowOff>306000</xdr:rowOff>
    </xdr:to>
    <xdr:pic>
      <xdr:nvPicPr>
        <xdr:cNvPr id="109" name="Image 108" descr="Picture">
          <a:extLst>
            <a:ext uri="{FF2B5EF4-FFF2-40B4-BE49-F238E27FC236}">
              <a16:creationId xmlns:a16="http://schemas.microsoft.com/office/drawing/2014/main" id="{00000000-0008-0000-0100-00006D000000}"/>
            </a:ext>
          </a:extLst>
        </xdr:cNvPr>
        <xdr:cNvPicPr/>
      </xdr:nvPicPr>
      <xdr:blipFill>
        <a:blip xmlns:r="http://schemas.openxmlformats.org/officeDocument/2006/relationships" r:embed="rId108"/>
        <a:stretch/>
      </xdr:blipFill>
      <xdr:spPr>
        <a:xfrm>
          <a:off x="6883560" y="47303280"/>
          <a:ext cx="418320" cy="418320"/>
        </a:xfrm>
        <a:prstGeom prst="rect">
          <a:avLst/>
        </a:prstGeom>
        <a:ln w="0">
          <a:noFill/>
        </a:ln>
      </xdr:spPr>
    </xdr:pic>
    <xdr:clientData/>
  </xdr:twoCellAnchor>
  <xdr:twoCellAnchor editAs="oneCell">
    <xdr:from>
      <xdr:col>7</xdr:col>
      <xdr:colOff>0</xdr:colOff>
      <xdr:row>109</xdr:row>
      <xdr:rowOff>325800</xdr:rowOff>
    </xdr:from>
    <xdr:to>
      <xdr:col>7</xdr:col>
      <xdr:colOff>418320</xdr:colOff>
      <xdr:row>111</xdr:row>
      <xdr:rowOff>417990</xdr:rowOff>
    </xdr:to>
    <xdr:pic>
      <xdr:nvPicPr>
        <xdr:cNvPr id="110" name="Image 109" descr="Picture">
          <a:extLst>
            <a:ext uri="{FF2B5EF4-FFF2-40B4-BE49-F238E27FC236}">
              <a16:creationId xmlns:a16="http://schemas.microsoft.com/office/drawing/2014/main" id="{00000000-0008-0000-0100-00006E000000}"/>
            </a:ext>
          </a:extLst>
        </xdr:cNvPr>
        <xdr:cNvPicPr/>
      </xdr:nvPicPr>
      <xdr:blipFill>
        <a:blip xmlns:r="http://schemas.openxmlformats.org/officeDocument/2006/relationships" r:embed="rId109"/>
        <a:stretch/>
      </xdr:blipFill>
      <xdr:spPr>
        <a:xfrm>
          <a:off x="6883560" y="47741400"/>
          <a:ext cx="418320" cy="417960"/>
        </a:xfrm>
        <a:prstGeom prst="rect">
          <a:avLst/>
        </a:prstGeom>
        <a:ln w="0">
          <a:noFill/>
        </a:ln>
      </xdr:spPr>
    </xdr:pic>
    <xdr:clientData/>
  </xdr:twoCellAnchor>
  <xdr:twoCellAnchor editAs="oneCell">
    <xdr:from>
      <xdr:col>7</xdr:col>
      <xdr:colOff>0</xdr:colOff>
      <xdr:row>110</xdr:row>
      <xdr:rowOff>325440</xdr:rowOff>
    </xdr:from>
    <xdr:to>
      <xdr:col>7</xdr:col>
      <xdr:colOff>418320</xdr:colOff>
      <xdr:row>111</xdr:row>
      <xdr:rowOff>418350</xdr:rowOff>
    </xdr:to>
    <xdr:pic>
      <xdr:nvPicPr>
        <xdr:cNvPr id="111" name="Image 110" descr="Picture">
          <a:extLst>
            <a:ext uri="{FF2B5EF4-FFF2-40B4-BE49-F238E27FC236}">
              <a16:creationId xmlns:a16="http://schemas.microsoft.com/office/drawing/2014/main" id="{00000000-0008-0000-0100-00006F000000}"/>
            </a:ext>
          </a:extLst>
        </xdr:cNvPr>
        <xdr:cNvPicPr/>
      </xdr:nvPicPr>
      <xdr:blipFill>
        <a:blip xmlns:r="http://schemas.openxmlformats.org/officeDocument/2006/relationships" r:embed="rId110"/>
        <a:stretch/>
      </xdr:blipFill>
      <xdr:spPr>
        <a:xfrm>
          <a:off x="6883560" y="48179160"/>
          <a:ext cx="418320" cy="418320"/>
        </a:xfrm>
        <a:prstGeom prst="rect">
          <a:avLst/>
        </a:prstGeom>
        <a:ln w="0">
          <a:noFill/>
        </a:ln>
      </xdr:spPr>
    </xdr:pic>
    <xdr:clientData/>
  </xdr:twoCellAnchor>
  <xdr:twoCellAnchor editAs="oneCell">
    <xdr:from>
      <xdr:col>7</xdr:col>
      <xdr:colOff>0</xdr:colOff>
      <xdr:row>111</xdr:row>
      <xdr:rowOff>325800</xdr:rowOff>
    </xdr:from>
    <xdr:to>
      <xdr:col>7</xdr:col>
      <xdr:colOff>418320</xdr:colOff>
      <xdr:row>112</xdr:row>
      <xdr:rowOff>306000</xdr:rowOff>
    </xdr:to>
    <xdr:pic>
      <xdr:nvPicPr>
        <xdr:cNvPr id="112" name="Image 111" descr="Picture">
          <a:extLst>
            <a:ext uri="{FF2B5EF4-FFF2-40B4-BE49-F238E27FC236}">
              <a16:creationId xmlns:a16="http://schemas.microsoft.com/office/drawing/2014/main" id="{00000000-0008-0000-0100-000070000000}"/>
            </a:ext>
          </a:extLst>
        </xdr:cNvPr>
        <xdr:cNvPicPr/>
      </xdr:nvPicPr>
      <xdr:blipFill>
        <a:blip xmlns:r="http://schemas.openxmlformats.org/officeDocument/2006/relationships" r:embed="rId111"/>
        <a:stretch/>
      </xdr:blipFill>
      <xdr:spPr>
        <a:xfrm>
          <a:off x="6883560" y="48617640"/>
          <a:ext cx="418320" cy="418320"/>
        </a:xfrm>
        <a:prstGeom prst="rect">
          <a:avLst/>
        </a:prstGeom>
        <a:ln w="0">
          <a:noFill/>
        </a:ln>
      </xdr:spPr>
    </xdr:pic>
    <xdr:clientData/>
  </xdr:twoCellAnchor>
  <xdr:twoCellAnchor editAs="oneCell">
    <xdr:from>
      <xdr:col>7</xdr:col>
      <xdr:colOff>0</xdr:colOff>
      <xdr:row>112</xdr:row>
      <xdr:rowOff>325800</xdr:rowOff>
    </xdr:from>
    <xdr:to>
      <xdr:col>7</xdr:col>
      <xdr:colOff>418320</xdr:colOff>
      <xdr:row>113</xdr:row>
      <xdr:rowOff>306000</xdr:rowOff>
    </xdr:to>
    <xdr:pic>
      <xdr:nvPicPr>
        <xdr:cNvPr id="113" name="Image 112" descr="Picture">
          <a:extLst>
            <a:ext uri="{FF2B5EF4-FFF2-40B4-BE49-F238E27FC236}">
              <a16:creationId xmlns:a16="http://schemas.microsoft.com/office/drawing/2014/main" id="{00000000-0008-0000-0100-000071000000}"/>
            </a:ext>
          </a:extLst>
        </xdr:cNvPr>
        <xdr:cNvPicPr/>
      </xdr:nvPicPr>
      <xdr:blipFill>
        <a:blip xmlns:r="http://schemas.openxmlformats.org/officeDocument/2006/relationships" r:embed="rId112"/>
        <a:stretch/>
      </xdr:blipFill>
      <xdr:spPr>
        <a:xfrm>
          <a:off x="6883560" y="49055760"/>
          <a:ext cx="418320" cy="418320"/>
        </a:xfrm>
        <a:prstGeom prst="rect">
          <a:avLst/>
        </a:prstGeom>
        <a:ln w="0">
          <a:noFill/>
        </a:ln>
      </xdr:spPr>
    </xdr:pic>
    <xdr:clientData/>
  </xdr:twoCellAnchor>
  <xdr:twoCellAnchor editAs="oneCell">
    <xdr:from>
      <xdr:col>7</xdr:col>
      <xdr:colOff>0</xdr:colOff>
      <xdr:row>113</xdr:row>
      <xdr:rowOff>325800</xdr:rowOff>
    </xdr:from>
    <xdr:to>
      <xdr:col>7</xdr:col>
      <xdr:colOff>418320</xdr:colOff>
      <xdr:row>114</xdr:row>
      <xdr:rowOff>306000</xdr:rowOff>
    </xdr:to>
    <xdr:pic>
      <xdr:nvPicPr>
        <xdr:cNvPr id="114" name="Image 113" descr="Picture">
          <a:extLst>
            <a:ext uri="{FF2B5EF4-FFF2-40B4-BE49-F238E27FC236}">
              <a16:creationId xmlns:a16="http://schemas.microsoft.com/office/drawing/2014/main" id="{00000000-0008-0000-0100-000072000000}"/>
            </a:ext>
          </a:extLst>
        </xdr:cNvPr>
        <xdr:cNvPicPr/>
      </xdr:nvPicPr>
      <xdr:blipFill>
        <a:blip xmlns:r="http://schemas.openxmlformats.org/officeDocument/2006/relationships" r:embed="rId113"/>
        <a:stretch/>
      </xdr:blipFill>
      <xdr:spPr>
        <a:xfrm>
          <a:off x="6883560" y="49493880"/>
          <a:ext cx="418320" cy="418320"/>
        </a:xfrm>
        <a:prstGeom prst="rect">
          <a:avLst/>
        </a:prstGeom>
        <a:ln w="0">
          <a:noFill/>
        </a:ln>
      </xdr:spPr>
    </xdr:pic>
    <xdr:clientData/>
  </xdr:twoCellAnchor>
  <xdr:twoCellAnchor editAs="oneCell">
    <xdr:from>
      <xdr:col>7</xdr:col>
      <xdr:colOff>0</xdr:colOff>
      <xdr:row>114</xdr:row>
      <xdr:rowOff>325800</xdr:rowOff>
    </xdr:from>
    <xdr:to>
      <xdr:col>7</xdr:col>
      <xdr:colOff>418320</xdr:colOff>
      <xdr:row>115</xdr:row>
      <xdr:rowOff>306000</xdr:rowOff>
    </xdr:to>
    <xdr:pic>
      <xdr:nvPicPr>
        <xdr:cNvPr id="115" name="Image 114" descr="Picture">
          <a:extLst>
            <a:ext uri="{FF2B5EF4-FFF2-40B4-BE49-F238E27FC236}">
              <a16:creationId xmlns:a16="http://schemas.microsoft.com/office/drawing/2014/main" id="{00000000-0008-0000-0100-000073000000}"/>
            </a:ext>
          </a:extLst>
        </xdr:cNvPr>
        <xdr:cNvPicPr/>
      </xdr:nvPicPr>
      <xdr:blipFill>
        <a:blip xmlns:r="http://schemas.openxmlformats.org/officeDocument/2006/relationships" r:embed="rId114"/>
        <a:stretch/>
      </xdr:blipFill>
      <xdr:spPr>
        <a:xfrm>
          <a:off x="6883560" y="49932000"/>
          <a:ext cx="418320" cy="418320"/>
        </a:xfrm>
        <a:prstGeom prst="rect">
          <a:avLst/>
        </a:prstGeom>
        <a:ln w="0">
          <a:noFill/>
        </a:ln>
      </xdr:spPr>
    </xdr:pic>
    <xdr:clientData/>
  </xdr:twoCellAnchor>
  <xdr:twoCellAnchor editAs="oneCell">
    <xdr:from>
      <xdr:col>7</xdr:col>
      <xdr:colOff>0</xdr:colOff>
      <xdr:row>115</xdr:row>
      <xdr:rowOff>325800</xdr:rowOff>
    </xdr:from>
    <xdr:to>
      <xdr:col>7</xdr:col>
      <xdr:colOff>418320</xdr:colOff>
      <xdr:row>116</xdr:row>
      <xdr:rowOff>306000</xdr:rowOff>
    </xdr:to>
    <xdr:pic>
      <xdr:nvPicPr>
        <xdr:cNvPr id="116" name="Image 115" descr="Picture">
          <a:extLst>
            <a:ext uri="{FF2B5EF4-FFF2-40B4-BE49-F238E27FC236}">
              <a16:creationId xmlns:a16="http://schemas.microsoft.com/office/drawing/2014/main" id="{00000000-0008-0000-0100-000074000000}"/>
            </a:ext>
          </a:extLst>
        </xdr:cNvPr>
        <xdr:cNvPicPr/>
      </xdr:nvPicPr>
      <xdr:blipFill>
        <a:blip xmlns:r="http://schemas.openxmlformats.org/officeDocument/2006/relationships" r:embed="rId115"/>
        <a:stretch/>
      </xdr:blipFill>
      <xdr:spPr>
        <a:xfrm>
          <a:off x="6883560" y="50370120"/>
          <a:ext cx="418320" cy="418320"/>
        </a:xfrm>
        <a:prstGeom prst="rect">
          <a:avLst/>
        </a:prstGeom>
        <a:ln w="0">
          <a:noFill/>
        </a:ln>
      </xdr:spPr>
    </xdr:pic>
    <xdr:clientData/>
  </xdr:twoCellAnchor>
  <xdr:twoCellAnchor editAs="oneCell">
    <xdr:from>
      <xdr:col>7</xdr:col>
      <xdr:colOff>0</xdr:colOff>
      <xdr:row>116</xdr:row>
      <xdr:rowOff>325800</xdr:rowOff>
    </xdr:from>
    <xdr:to>
      <xdr:col>7</xdr:col>
      <xdr:colOff>418320</xdr:colOff>
      <xdr:row>120</xdr:row>
      <xdr:rowOff>306000</xdr:rowOff>
    </xdr:to>
    <xdr:pic>
      <xdr:nvPicPr>
        <xdr:cNvPr id="117" name="Image 116" descr="Picture">
          <a:extLst>
            <a:ext uri="{FF2B5EF4-FFF2-40B4-BE49-F238E27FC236}">
              <a16:creationId xmlns:a16="http://schemas.microsoft.com/office/drawing/2014/main" id="{00000000-0008-0000-0100-000075000000}"/>
            </a:ext>
          </a:extLst>
        </xdr:cNvPr>
        <xdr:cNvPicPr/>
      </xdr:nvPicPr>
      <xdr:blipFill>
        <a:blip xmlns:r="http://schemas.openxmlformats.org/officeDocument/2006/relationships" r:embed="rId116"/>
        <a:stretch/>
      </xdr:blipFill>
      <xdr:spPr>
        <a:xfrm>
          <a:off x="6883560" y="50808240"/>
          <a:ext cx="418320" cy="418320"/>
        </a:xfrm>
        <a:prstGeom prst="rect">
          <a:avLst/>
        </a:prstGeom>
        <a:ln w="0">
          <a:noFill/>
        </a:ln>
      </xdr:spPr>
    </xdr:pic>
    <xdr:clientData/>
  </xdr:twoCellAnchor>
  <xdr:twoCellAnchor editAs="oneCell">
    <xdr:from>
      <xdr:col>7</xdr:col>
      <xdr:colOff>0</xdr:colOff>
      <xdr:row>117</xdr:row>
      <xdr:rowOff>325800</xdr:rowOff>
    </xdr:from>
    <xdr:to>
      <xdr:col>7</xdr:col>
      <xdr:colOff>418320</xdr:colOff>
      <xdr:row>120</xdr:row>
      <xdr:rowOff>418350</xdr:rowOff>
    </xdr:to>
    <xdr:pic>
      <xdr:nvPicPr>
        <xdr:cNvPr id="118" name="Image 117" descr="Picture">
          <a:extLst>
            <a:ext uri="{FF2B5EF4-FFF2-40B4-BE49-F238E27FC236}">
              <a16:creationId xmlns:a16="http://schemas.microsoft.com/office/drawing/2014/main" id="{00000000-0008-0000-0100-000076000000}"/>
            </a:ext>
          </a:extLst>
        </xdr:cNvPr>
        <xdr:cNvPicPr/>
      </xdr:nvPicPr>
      <xdr:blipFill>
        <a:blip xmlns:r="http://schemas.openxmlformats.org/officeDocument/2006/relationships" r:embed="rId117"/>
        <a:stretch/>
      </xdr:blipFill>
      <xdr:spPr>
        <a:xfrm>
          <a:off x="6883560" y="51246360"/>
          <a:ext cx="418320" cy="418320"/>
        </a:xfrm>
        <a:prstGeom prst="rect">
          <a:avLst/>
        </a:prstGeom>
        <a:ln w="0">
          <a:noFill/>
        </a:ln>
      </xdr:spPr>
    </xdr:pic>
    <xdr:clientData/>
  </xdr:twoCellAnchor>
  <xdr:twoCellAnchor editAs="oneCell">
    <xdr:from>
      <xdr:col>7</xdr:col>
      <xdr:colOff>0</xdr:colOff>
      <xdr:row>118</xdr:row>
      <xdr:rowOff>325800</xdr:rowOff>
    </xdr:from>
    <xdr:to>
      <xdr:col>7</xdr:col>
      <xdr:colOff>418320</xdr:colOff>
      <xdr:row>120</xdr:row>
      <xdr:rowOff>418350</xdr:rowOff>
    </xdr:to>
    <xdr:pic>
      <xdr:nvPicPr>
        <xdr:cNvPr id="119" name="Image 118" descr="Picture">
          <a:extLst>
            <a:ext uri="{FF2B5EF4-FFF2-40B4-BE49-F238E27FC236}">
              <a16:creationId xmlns:a16="http://schemas.microsoft.com/office/drawing/2014/main" id="{00000000-0008-0000-0100-000077000000}"/>
            </a:ext>
          </a:extLst>
        </xdr:cNvPr>
        <xdr:cNvPicPr/>
      </xdr:nvPicPr>
      <xdr:blipFill>
        <a:blip xmlns:r="http://schemas.openxmlformats.org/officeDocument/2006/relationships" r:embed="rId118"/>
        <a:stretch/>
      </xdr:blipFill>
      <xdr:spPr>
        <a:xfrm>
          <a:off x="6883560" y="51684480"/>
          <a:ext cx="418320" cy="418320"/>
        </a:xfrm>
        <a:prstGeom prst="rect">
          <a:avLst/>
        </a:prstGeom>
        <a:ln w="0">
          <a:noFill/>
        </a:ln>
      </xdr:spPr>
    </xdr:pic>
    <xdr:clientData/>
  </xdr:twoCellAnchor>
  <xdr:twoCellAnchor editAs="oneCell">
    <xdr:from>
      <xdr:col>7</xdr:col>
      <xdr:colOff>0</xdr:colOff>
      <xdr:row>119</xdr:row>
      <xdr:rowOff>325800</xdr:rowOff>
    </xdr:from>
    <xdr:to>
      <xdr:col>7</xdr:col>
      <xdr:colOff>418320</xdr:colOff>
      <xdr:row>120</xdr:row>
      <xdr:rowOff>418350</xdr:rowOff>
    </xdr:to>
    <xdr:pic>
      <xdr:nvPicPr>
        <xdr:cNvPr id="120" name="Image 119" descr="Picture">
          <a:extLst>
            <a:ext uri="{FF2B5EF4-FFF2-40B4-BE49-F238E27FC236}">
              <a16:creationId xmlns:a16="http://schemas.microsoft.com/office/drawing/2014/main" id="{00000000-0008-0000-0100-000078000000}"/>
            </a:ext>
          </a:extLst>
        </xdr:cNvPr>
        <xdr:cNvPicPr/>
      </xdr:nvPicPr>
      <xdr:blipFill>
        <a:blip xmlns:r="http://schemas.openxmlformats.org/officeDocument/2006/relationships" r:embed="rId119"/>
        <a:stretch/>
      </xdr:blipFill>
      <xdr:spPr>
        <a:xfrm>
          <a:off x="6883560" y="52122600"/>
          <a:ext cx="418320" cy="418680"/>
        </a:xfrm>
        <a:prstGeom prst="rect">
          <a:avLst/>
        </a:prstGeom>
        <a:ln w="0">
          <a:noFill/>
        </a:ln>
      </xdr:spPr>
    </xdr:pic>
    <xdr:clientData/>
  </xdr:twoCellAnchor>
  <xdr:twoCellAnchor editAs="oneCell">
    <xdr:from>
      <xdr:col>7</xdr:col>
      <xdr:colOff>0</xdr:colOff>
      <xdr:row>120</xdr:row>
      <xdr:rowOff>325800</xdr:rowOff>
    </xdr:from>
    <xdr:to>
      <xdr:col>7</xdr:col>
      <xdr:colOff>418320</xdr:colOff>
      <xdr:row>121</xdr:row>
      <xdr:rowOff>306000</xdr:rowOff>
    </xdr:to>
    <xdr:pic>
      <xdr:nvPicPr>
        <xdr:cNvPr id="121" name="Image 120" descr="Picture">
          <a:extLst>
            <a:ext uri="{FF2B5EF4-FFF2-40B4-BE49-F238E27FC236}">
              <a16:creationId xmlns:a16="http://schemas.microsoft.com/office/drawing/2014/main" id="{00000000-0008-0000-0100-000079000000}"/>
            </a:ext>
          </a:extLst>
        </xdr:cNvPr>
        <xdr:cNvPicPr/>
      </xdr:nvPicPr>
      <xdr:blipFill>
        <a:blip xmlns:r="http://schemas.openxmlformats.org/officeDocument/2006/relationships" r:embed="rId120"/>
        <a:stretch/>
      </xdr:blipFill>
      <xdr:spPr>
        <a:xfrm>
          <a:off x="6883560" y="52561080"/>
          <a:ext cx="418320" cy="418320"/>
        </a:xfrm>
        <a:prstGeom prst="rect">
          <a:avLst/>
        </a:prstGeom>
        <a:ln w="0">
          <a:noFill/>
        </a:ln>
      </xdr:spPr>
    </xdr:pic>
    <xdr:clientData/>
  </xdr:twoCellAnchor>
  <xdr:twoCellAnchor editAs="oneCell">
    <xdr:from>
      <xdr:col>7</xdr:col>
      <xdr:colOff>0</xdr:colOff>
      <xdr:row>121</xdr:row>
      <xdr:rowOff>325800</xdr:rowOff>
    </xdr:from>
    <xdr:to>
      <xdr:col>7</xdr:col>
      <xdr:colOff>418320</xdr:colOff>
      <xdr:row>131</xdr:row>
      <xdr:rowOff>305640</xdr:rowOff>
    </xdr:to>
    <xdr:pic>
      <xdr:nvPicPr>
        <xdr:cNvPr id="122" name="Image 121" descr="Picture">
          <a:extLst>
            <a:ext uri="{FF2B5EF4-FFF2-40B4-BE49-F238E27FC236}">
              <a16:creationId xmlns:a16="http://schemas.microsoft.com/office/drawing/2014/main" id="{00000000-0008-0000-0100-00007A000000}"/>
            </a:ext>
          </a:extLst>
        </xdr:cNvPr>
        <xdr:cNvPicPr/>
      </xdr:nvPicPr>
      <xdr:blipFill>
        <a:blip xmlns:r="http://schemas.openxmlformats.org/officeDocument/2006/relationships" r:embed="rId121"/>
        <a:stretch/>
      </xdr:blipFill>
      <xdr:spPr>
        <a:xfrm>
          <a:off x="6883560" y="52999200"/>
          <a:ext cx="418320" cy="417960"/>
        </a:xfrm>
        <a:prstGeom prst="rect">
          <a:avLst/>
        </a:prstGeom>
        <a:ln w="0">
          <a:noFill/>
        </a:ln>
      </xdr:spPr>
    </xdr:pic>
    <xdr:clientData/>
  </xdr:twoCellAnchor>
  <xdr:twoCellAnchor editAs="oneCell">
    <xdr:from>
      <xdr:col>7</xdr:col>
      <xdr:colOff>0</xdr:colOff>
      <xdr:row>122</xdr:row>
      <xdr:rowOff>325440</xdr:rowOff>
    </xdr:from>
    <xdr:to>
      <xdr:col>7</xdr:col>
      <xdr:colOff>418320</xdr:colOff>
      <xdr:row>131</xdr:row>
      <xdr:rowOff>418350</xdr:rowOff>
    </xdr:to>
    <xdr:pic>
      <xdr:nvPicPr>
        <xdr:cNvPr id="123" name="Image 122" descr="Picture">
          <a:extLst>
            <a:ext uri="{FF2B5EF4-FFF2-40B4-BE49-F238E27FC236}">
              <a16:creationId xmlns:a16="http://schemas.microsoft.com/office/drawing/2014/main" id="{00000000-0008-0000-0100-00007B000000}"/>
            </a:ext>
          </a:extLst>
        </xdr:cNvPr>
        <xdr:cNvPicPr/>
      </xdr:nvPicPr>
      <xdr:blipFill>
        <a:blip xmlns:r="http://schemas.openxmlformats.org/officeDocument/2006/relationships" r:embed="rId122"/>
        <a:stretch/>
      </xdr:blipFill>
      <xdr:spPr>
        <a:xfrm>
          <a:off x="6883560" y="53436960"/>
          <a:ext cx="418320" cy="418320"/>
        </a:xfrm>
        <a:prstGeom prst="rect">
          <a:avLst/>
        </a:prstGeom>
        <a:ln w="0">
          <a:noFill/>
        </a:ln>
      </xdr:spPr>
    </xdr:pic>
    <xdr:clientData/>
  </xdr:twoCellAnchor>
  <xdr:twoCellAnchor editAs="oneCell">
    <xdr:from>
      <xdr:col>7</xdr:col>
      <xdr:colOff>0</xdr:colOff>
      <xdr:row>123</xdr:row>
      <xdr:rowOff>325800</xdr:rowOff>
    </xdr:from>
    <xdr:to>
      <xdr:col>7</xdr:col>
      <xdr:colOff>418320</xdr:colOff>
      <xdr:row>131</xdr:row>
      <xdr:rowOff>418350</xdr:rowOff>
    </xdr:to>
    <xdr:pic>
      <xdr:nvPicPr>
        <xdr:cNvPr id="124" name="Image 123" descr="Picture">
          <a:extLst>
            <a:ext uri="{FF2B5EF4-FFF2-40B4-BE49-F238E27FC236}">
              <a16:creationId xmlns:a16="http://schemas.microsoft.com/office/drawing/2014/main" id="{00000000-0008-0000-0100-00007C000000}"/>
            </a:ext>
          </a:extLst>
        </xdr:cNvPr>
        <xdr:cNvPicPr/>
      </xdr:nvPicPr>
      <xdr:blipFill>
        <a:blip xmlns:r="http://schemas.openxmlformats.org/officeDocument/2006/relationships" r:embed="rId123"/>
        <a:stretch/>
      </xdr:blipFill>
      <xdr:spPr>
        <a:xfrm>
          <a:off x="6883560" y="53875440"/>
          <a:ext cx="418320" cy="418320"/>
        </a:xfrm>
        <a:prstGeom prst="rect">
          <a:avLst/>
        </a:prstGeom>
        <a:ln w="0">
          <a:noFill/>
        </a:ln>
      </xdr:spPr>
    </xdr:pic>
    <xdr:clientData/>
  </xdr:twoCellAnchor>
  <xdr:twoCellAnchor editAs="oneCell">
    <xdr:from>
      <xdr:col>7</xdr:col>
      <xdr:colOff>0</xdr:colOff>
      <xdr:row>124</xdr:row>
      <xdr:rowOff>325800</xdr:rowOff>
    </xdr:from>
    <xdr:to>
      <xdr:col>7</xdr:col>
      <xdr:colOff>418320</xdr:colOff>
      <xdr:row>131</xdr:row>
      <xdr:rowOff>418350</xdr:rowOff>
    </xdr:to>
    <xdr:pic>
      <xdr:nvPicPr>
        <xdr:cNvPr id="125" name="Image 124" descr="Picture">
          <a:extLst>
            <a:ext uri="{FF2B5EF4-FFF2-40B4-BE49-F238E27FC236}">
              <a16:creationId xmlns:a16="http://schemas.microsoft.com/office/drawing/2014/main" id="{00000000-0008-0000-0100-00007D000000}"/>
            </a:ext>
          </a:extLst>
        </xdr:cNvPr>
        <xdr:cNvPicPr/>
      </xdr:nvPicPr>
      <xdr:blipFill>
        <a:blip xmlns:r="http://schemas.openxmlformats.org/officeDocument/2006/relationships" r:embed="rId124"/>
        <a:stretch/>
      </xdr:blipFill>
      <xdr:spPr>
        <a:xfrm>
          <a:off x="6883560" y="54313560"/>
          <a:ext cx="418320" cy="418320"/>
        </a:xfrm>
        <a:prstGeom prst="rect">
          <a:avLst/>
        </a:prstGeom>
        <a:ln w="0">
          <a:noFill/>
        </a:ln>
      </xdr:spPr>
    </xdr:pic>
    <xdr:clientData/>
  </xdr:twoCellAnchor>
  <xdr:twoCellAnchor editAs="oneCell">
    <xdr:from>
      <xdr:col>7</xdr:col>
      <xdr:colOff>0</xdr:colOff>
      <xdr:row>125</xdr:row>
      <xdr:rowOff>325800</xdr:rowOff>
    </xdr:from>
    <xdr:to>
      <xdr:col>7</xdr:col>
      <xdr:colOff>418320</xdr:colOff>
      <xdr:row>131</xdr:row>
      <xdr:rowOff>418350</xdr:rowOff>
    </xdr:to>
    <xdr:pic>
      <xdr:nvPicPr>
        <xdr:cNvPr id="126" name="Image 125" descr="Picture">
          <a:extLst>
            <a:ext uri="{FF2B5EF4-FFF2-40B4-BE49-F238E27FC236}">
              <a16:creationId xmlns:a16="http://schemas.microsoft.com/office/drawing/2014/main" id="{00000000-0008-0000-0100-00007E000000}"/>
            </a:ext>
          </a:extLst>
        </xdr:cNvPr>
        <xdr:cNvPicPr/>
      </xdr:nvPicPr>
      <xdr:blipFill>
        <a:blip xmlns:r="http://schemas.openxmlformats.org/officeDocument/2006/relationships" r:embed="rId125"/>
        <a:stretch/>
      </xdr:blipFill>
      <xdr:spPr>
        <a:xfrm>
          <a:off x="6883560" y="54751680"/>
          <a:ext cx="418320" cy="418320"/>
        </a:xfrm>
        <a:prstGeom prst="rect">
          <a:avLst/>
        </a:prstGeom>
        <a:ln w="0">
          <a:noFill/>
        </a:ln>
      </xdr:spPr>
    </xdr:pic>
    <xdr:clientData/>
  </xdr:twoCellAnchor>
  <xdr:twoCellAnchor editAs="oneCell">
    <xdr:from>
      <xdr:col>7</xdr:col>
      <xdr:colOff>0</xdr:colOff>
      <xdr:row>126</xdr:row>
      <xdr:rowOff>325800</xdr:rowOff>
    </xdr:from>
    <xdr:to>
      <xdr:col>7</xdr:col>
      <xdr:colOff>418320</xdr:colOff>
      <xdr:row>131</xdr:row>
      <xdr:rowOff>418350</xdr:rowOff>
    </xdr:to>
    <xdr:pic>
      <xdr:nvPicPr>
        <xdr:cNvPr id="127" name="Image 126" descr="Picture">
          <a:extLst>
            <a:ext uri="{FF2B5EF4-FFF2-40B4-BE49-F238E27FC236}">
              <a16:creationId xmlns:a16="http://schemas.microsoft.com/office/drawing/2014/main" id="{00000000-0008-0000-0100-00007F000000}"/>
            </a:ext>
          </a:extLst>
        </xdr:cNvPr>
        <xdr:cNvPicPr/>
      </xdr:nvPicPr>
      <xdr:blipFill>
        <a:blip xmlns:r="http://schemas.openxmlformats.org/officeDocument/2006/relationships" r:embed="rId126"/>
        <a:stretch/>
      </xdr:blipFill>
      <xdr:spPr>
        <a:xfrm>
          <a:off x="6883560" y="55189800"/>
          <a:ext cx="418320" cy="418320"/>
        </a:xfrm>
        <a:prstGeom prst="rect">
          <a:avLst/>
        </a:prstGeom>
        <a:ln w="0">
          <a:noFill/>
        </a:ln>
      </xdr:spPr>
    </xdr:pic>
    <xdr:clientData/>
  </xdr:twoCellAnchor>
  <xdr:twoCellAnchor editAs="oneCell">
    <xdr:from>
      <xdr:col>7</xdr:col>
      <xdr:colOff>0</xdr:colOff>
      <xdr:row>127</xdr:row>
      <xdr:rowOff>325800</xdr:rowOff>
    </xdr:from>
    <xdr:to>
      <xdr:col>7</xdr:col>
      <xdr:colOff>418320</xdr:colOff>
      <xdr:row>131</xdr:row>
      <xdr:rowOff>418350</xdr:rowOff>
    </xdr:to>
    <xdr:pic>
      <xdr:nvPicPr>
        <xdr:cNvPr id="128" name="Image 127" descr="Picture">
          <a:extLst>
            <a:ext uri="{FF2B5EF4-FFF2-40B4-BE49-F238E27FC236}">
              <a16:creationId xmlns:a16="http://schemas.microsoft.com/office/drawing/2014/main" id="{00000000-0008-0000-0100-000080000000}"/>
            </a:ext>
          </a:extLst>
        </xdr:cNvPr>
        <xdr:cNvPicPr/>
      </xdr:nvPicPr>
      <xdr:blipFill>
        <a:blip xmlns:r="http://schemas.openxmlformats.org/officeDocument/2006/relationships" r:embed="rId127"/>
        <a:stretch/>
      </xdr:blipFill>
      <xdr:spPr>
        <a:xfrm>
          <a:off x="6883560" y="55627920"/>
          <a:ext cx="418320" cy="418320"/>
        </a:xfrm>
        <a:prstGeom prst="rect">
          <a:avLst/>
        </a:prstGeom>
        <a:ln w="0">
          <a:noFill/>
        </a:ln>
      </xdr:spPr>
    </xdr:pic>
    <xdr:clientData/>
  </xdr:twoCellAnchor>
  <xdr:twoCellAnchor editAs="oneCell">
    <xdr:from>
      <xdr:col>7</xdr:col>
      <xdr:colOff>0</xdr:colOff>
      <xdr:row>128</xdr:row>
      <xdr:rowOff>325800</xdr:rowOff>
    </xdr:from>
    <xdr:to>
      <xdr:col>7</xdr:col>
      <xdr:colOff>418320</xdr:colOff>
      <xdr:row>131</xdr:row>
      <xdr:rowOff>418350</xdr:rowOff>
    </xdr:to>
    <xdr:pic>
      <xdr:nvPicPr>
        <xdr:cNvPr id="129" name="Image 128" descr="Picture">
          <a:extLst>
            <a:ext uri="{FF2B5EF4-FFF2-40B4-BE49-F238E27FC236}">
              <a16:creationId xmlns:a16="http://schemas.microsoft.com/office/drawing/2014/main" id="{00000000-0008-0000-0100-000081000000}"/>
            </a:ext>
          </a:extLst>
        </xdr:cNvPr>
        <xdr:cNvPicPr/>
      </xdr:nvPicPr>
      <xdr:blipFill>
        <a:blip xmlns:r="http://schemas.openxmlformats.org/officeDocument/2006/relationships" r:embed="rId128"/>
        <a:stretch/>
      </xdr:blipFill>
      <xdr:spPr>
        <a:xfrm>
          <a:off x="6883560" y="56066040"/>
          <a:ext cx="418320" cy="418320"/>
        </a:xfrm>
        <a:prstGeom prst="rect">
          <a:avLst/>
        </a:prstGeom>
        <a:ln w="0">
          <a:noFill/>
        </a:ln>
      </xdr:spPr>
    </xdr:pic>
    <xdr:clientData/>
  </xdr:twoCellAnchor>
  <xdr:twoCellAnchor editAs="oneCell">
    <xdr:from>
      <xdr:col>7</xdr:col>
      <xdr:colOff>0</xdr:colOff>
      <xdr:row>129</xdr:row>
      <xdr:rowOff>325800</xdr:rowOff>
    </xdr:from>
    <xdr:to>
      <xdr:col>7</xdr:col>
      <xdr:colOff>418320</xdr:colOff>
      <xdr:row>131</xdr:row>
      <xdr:rowOff>418350</xdr:rowOff>
    </xdr:to>
    <xdr:pic>
      <xdr:nvPicPr>
        <xdr:cNvPr id="130" name="Image 129" descr="Picture">
          <a:extLst>
            <a:ext uri="{FF2B5EF4-FFF2-40B4-BE49-F238E27FC236}">
              <a16:creationId xmlns:a16="http://schemas.microsoft.com/office/drawing/2014/main" id="{00000000-0008-0000-0100-000082000000}"/>
            </a:ext>
          </a:extLst>
        </xdr:cNvPr>
        <xdr:cNvPicPr/>
      </xdr:nvPicPr>
      <xdr:blipFill>
        <a:blip xmlns:r="http://schemas.openxmlformats.org/officeDocument/2006/relationships" r:embed="rId129"/>
        <a:stretch/>
      </xdr:blipFill>
      <xdr:spPr>
        <a:xfrm>
          <a:off x="6883560" y="56504160"/>
          <a:ext cx="418320" cy="418320"/>
        </a:xfrm>
        <a:prstGeom prst="rect">
          <a:avLst/>
        </a:prstGeom>
        <a:ln w="0">
          <a:noFill/>
        </a:ln>
      </xdr:spPr>
    </xdr:pic>
    <xdr:clientData/>
  </xdr:twoCellAnchor>
  <xdr:twoCellAnchor editAs="oneCell">
    <xdr:from>
      <xdr:col>7</xdr:col>
      <xdr:colOff>0</xdr:colOff>
      <xdr:row>130</xdr:row>
      <xdr:rowOff>325800</xdr:rowOff>
    </xdr:from>
    <xdr:to>
      <xdr:col>7</xdr:col>
      <xdr:colOff>418320</xdr:colOff>
      <xdr:row>131</xdr:row>
      <xdr:rowOff>418350</xdr:rowOff>
    </xdr:to>
    <xdr:pic>
      <xdr:nvPicPr>
        <xdr:cNvPr id="131" name="Image 130" descr="Picture">
          <a:extLst>
            <a:ext uri="{FF2B5EF4-FFF2-40B4-BE49-F238E27FC236}">
              <a16:creationId xmlns:a16="http://schemas.microsoft.com/office/drawing/2014/main" id="{00000000-0008-0000-0100-000083000000}"/>
            </a:ext>
          </a:extLst>
        </xdr:cNvPr>
        <xdr:cNvPicPr/>
      </xdr:nvPicPr>
      <xdr:blipFill>
        <a:blip xmlns:r="http://schemas.openxmlformats.org/officeDocument/2006/relationships" r:embed="rId130"/>
        <a:stretch/>
      </xdr:blipFill>
      <xdr:spPr>
        <a:xfrm>
          <a:off x="6883560" y="56942280"/>
          <a:ext cx="418320" cy="418320"/>
        </a:xfrm>
        <a:prstGeom prst="rect">
          <a:avLst/>
        </a:prstGeom>
        <a:ln w="0">
          <a:noFill/>
        </a:ln>
      </xdr:spPr>
    </xdr:pic>
    <xdr:clientData/>
  </xdr:twoCellAnchor>
  <xdr:twoCellAnchor editAs="oneCell">
    <xdr:from>
      <xdr:col>7</xdr:col>
      <xdr:colOff>0</xdr:colOff>
      <xdr:row>131</xdr:row>
      <xdr:rowOff>325800</xdr:rowOff>
    </xdr:from>
    <xdr:to>
      <xdr:col>7</xdr:col>
      <xdr:colOff>418320</xdr:colOff>
      <xdr:row>132</xdr:row>
      <xdr:rowOff>306000</xdr:rowOff>
    </xdr:to>
    <xdr:pic>
      <xdr:nvPicPr>
        <xdr:cNvPr id="132" name="Image 131" descr="Picture">
          <a:extLst>
            <a:ext uri="{FF2B5EF4-FFF2-40B4-BE49-F238E27FC236}">
              <a16:creationId xmlns:a16="http://schemas.microsoft.com/office/drawing/2014/main" id="{00000000-0008-0000-0100-000084000000}"/>
            </a:ext>
          </a:extLst>
        </xdr:cNvPr>
        <xdr:cNvPicPr/>
      </xdr:nvPicPr>
      <xdr:blipFill>
        <a:blip xmlns:r="http://schemas.openxmlformats.org/officeDocument/2006/relationships" r:embed="rId131"/>
        <a:stretch/>
      </xdr:blipFill>
      <xdr:spPr>
        <a:xfrm>
          <a:off x="6883560" y="57380400"/>
          <a:ext cx="418320" cy="418680"/>
        </a:xfrm>
        <a:prstGeom prst="rect">
          <a:avLst/>
        </a:prstGeom>
        <a:ln w="0">
          <a:noFill/>
        </a:ln>
      </xdr:spPr>
    </xdr:pic>
    <xdr:clientData/>
  </xdr:twoCellAnchor>
  <xdr:twoCellAnchor editAs="oneCell">
    <xdr:from>
      <xdr:col>7</xdr:col>
      <xdr:colOff>0</xdr:colOff>
      <xdr:row>132</xdr:row>
      <xdr:rowOff>325800</xdr:rowOff>
    </xdr:from>
    <xdr:to>
      <xdr:col>7</xdr:col>
      <xdr:colOff>418320</xdr:colOff>
      <xdr:row>134</xdr:row>
      <xdr:rowOff>306000</xdr:rowOff>
    </xdr:to>
    <xdr:pic>
      <xdr:nvPicPr>
        <xdr:cNvPr id="133" name="Image 132" descr="Picture">
          <a:extLst>
            <a:ext uri="{FF2B5EF4-FFF2-40B4-BE49-F238E27FC236}">
              <a16:creationId xmlns:a16="http://schemas.microsoft.com/office/drawing/2014/main" id="{00000000-0008-0000-0100-000085000000}"/>
            </a:ext>
          </a:extLst>
        </xdr:cNvPr>
        <xdr:cNvPicPr/>
      </xdr:nvPicPr>
      <xdr:blipFill>
        <a:blip xmlns:r="http://schemas.openxmlformats.org/officeDocument/2006/relationships" r:embed="rId132"/>
        <a:stretch/>
      </xdr:blipFill>
      <xdr:spPr>
        <a:xfrm>
          <a:off x="6883560" y="57818880"/>
          <a:ext cx="418320" cy="418320"/>
        </a:xfrm>
        <a:prstGeom prst="rect">
          <a:avLst/>
        </a:prstGeom>
        <a:ln w="0">
          <a:noFill/>
        </a:ln>
      </xdr:spPr>
    </xdr:pic>
    <xdr:clientData/>
  </xdr:twoCellAnchor>
  <xdr:twoCellAnchor editAs="oneCell">
    <xdr:from>
      <xdr:col>7</xdr:col>
      <xdr:colOff>0</xdr:colOff>
      <xdr:row>133</xdr:row>
      <xdr:rowOff>325800</xdr:rowOff>
    </xdr:from>
    <xdr:to>
      <xdr:col>7</xdr:col>
      <xdr:colOff>418320</xdr:colOff>
      <xdr:row>134</xdr:row>
      <xdr:rowOff>417990</xdr:rowOff>
    </xdr:to>
    <xdr:pic>
      <xdr:nvPicPr>
        <xdr:cNvPr id="134" name="Image 133" descr="Picture">
          <a:extLst>
            <a:ext uri="{FF2B5EF4-FFF2-40B4-BE49-F238E27FC236}">
              <a16:creationId xmlns:a16="http://schemas.microsoft.com/office/drawing/2014/main" id="{00000000-0008-0000-0100-000086000000}"/>
            </a:ext>
          </a:extLst>
        </xdr:cNvPr>
        <xdr:cNvPicPr/>
      </xdr:nvPicPr>
      <xdr:blipFill>
        <a:blip xmlns:r="http://schemas.openxmlformats.org/officeDocument/2006/relationships" r:embed="rId133"/>
        <a:stretch/>
      </xdr:blipFill>
      <xdr:spPr>
        <a:xfrm>
          <a:off x="6883560" y="58257000"/>
          <a:ext cx="418320" cy="417960"/>
        </a:xfrm>
        <a:prstGeom prst="rect">
          <a:avLst/>
        </a:prstGeom>
        <a:ln w="0">
          <a:noFill/>
        </a:ln>
      </xdr:spPr>
    </xdr:pic>
    <xdr:clientData/>
  </xdr:twoCellAnchor>
  <xdr:twoCellAnchor editAs="oneCell">
    <xdr:from>
      <xdr:col>7</xdr:col>
      <xdr:colOff>0</xdr:colOff>
      <xdr:row>134</xdr:row>
      <xdr:rowOff>325440</xdr:rowOff>
    </xdr:from>
    <xdr:to>
      <xdr:col>7</xdr:col>
      <xdr:colOff>418320</xdr:colOff>
      <xdr:row>135</xdr:row>
      <xdr:rowOff>305640</xdr:rowOff>
    </xdr:to>
    <xdr:pic>
      <xdr:nvPicPr>
        <xdr:cNvPr id="135" name="Image 134" descr="Picture">
          <a:extLst>
            <a:ext uri="{FF2B5EF4-FFF2-40B4-BE49-F238E27FC236}">
              <a16:creationId xmlns:a16="http://schemas.microsoft.com/office/drawing/2014/main" id="{00000000-0008-0000-0100-000087000000}"/>
            </a:ext>
          </a:extLst>
        </xdr:cNvPr>
        <xdr:cNvPicPr/>
      </xdr:nvPicPr>
      <xdr:blipFill>
        <a:blip xmlns:r="http://schemas.openxmlformats.org/officeDocument/2006/relationships" r:embed="rId134"/>
        <a:stretch/>
      </xdr:blipFill>
      <xdr:spPr>
        <a:xfrm>
          <a:off x="6883560" y="58694760"/>
          <a:ext cx="418320" cy="418320"/>
        </a:xfrm>
        <a:prstGeom prst="rect">
          <a:avLst/>
        </a:prstGeom>
        <a:ln w="0">
          <a:noFill/>
        </a:ln>
      </xdr:spPr>
    </xdr:pic>
    <xdr:clientData/>
  </xdr:twoCellAnchor>
  <xdr:twoCellAnchor editAs="oneCell">
    <xdr:from>
      <xdr:col>7</xdr:col>
      <xdr:colOff>0</xdr:colOff>
      <xdr:row>135</xdr:row>
      <xdr:rowOff>325800</xdr:rowOff>
    </xdr:from>
    <xdr:to>
      <xdr:col>7</xdr:col>
      <xdr:colOff>418320</xdr:colOff>
      <xdr:row>137</xdr:row>
      <xdr:rowOff>306000</xdr:rowOff>
    </xdr:to>
    <xdr:pic>
      <xdr:nvPicPr>
        <xdr:cNvPr id="136" name="Image 135" descr="Picture">
          <a:extLst>
            <a:ext uri="{FF2B5EF4-FFF2-40B4-BE49-F238E27FC236}">
              <a16:creationId xmlns:a16="http://schemas.microsoft.com/office/drawing/2014/main" id="{00000000-0008-0000-0100-000088000000}"/>
            </a:ext>
          </a:extLst>
        </xdr:cNvPr>
        <xdr:cNvPicPr/>
      </xdr:nvPicPr>
      <xdr:blipFill>
        <a:blip xmlns:r="http://schemas.openxmlformats.org/officeDocument/2006/relationships" r:embed="rId135"/>
        <a:stretch/>
      </xdr:blipFill>
      <xdr:spPr>
        <a:xfrm>
          <a:off x="6883560" y="59133240"/>
          <a:ext cx="418320" cy="418320"/>
        </a:xfrm>
        <a:prstGeom prst="rect">
          <a:avLst/>
        </a:prstGeom>
        <a:ln w="0">
          <a:noFill/>
        </a:ln>
      </xdr:spPr>
    </xdr:pic>
    <xdr:clientData/>
  </xdr:twoCellAnchor>
  <xdr:twoCellAnchor editAs="oneCell">
    <xdr:from>
      <xdr:col>7</xdr:col>
      <xdr:colOff>0</xdr:colOff>
      <xdr:row>136</xdr:row>
      <xdr:rowOff>325800</xdr:rowOff>
    </xdr:from>
    <xdr:to>
      <xdr:col>7</xdr:col>
      <xdr:colOff>418320</xdr:colOff>
      <xdr:row>137</xdr:row>
      <xdr:rowOff>418350</xdr:rowOff>
    </xdr:to>
    <xdr:pic>
      <xdr:nvPicPr>
        <xdr:cNvPr id="137" name="Image 136" descr="Picture">
          <a:extLst>
            <a:ext uri="{FF2B5EF4-FFF2-40B4-BE49-F238E27FC236}">
              <a16:creationId xmlns:a16="http://schemas.microsoft.com/office/drawing/2014/main" id="{00000000-0008-0000-0100-000089000000}"/>
            </a:ext>
          </a:extLst>
        </xdr:cNvPr>
        <xdr:cNvPicPr/>
      </xdr:nvPicPr>
      <xdr:blipFill>
        <a:blip xmlns:r="http://schemas.openxmlformats.org/officeDocument/2006/relationships" r:embed="rId136"/>
        <a:stretch/>
      </xdr:blipFill>
      <xdr:spPr>
        <a:xfrm>
          <a:off x="6883560" y="59571360"/>
          <a:ext cx="418320" cy="418320"/>
        </a:xfrm>
        <a:prstGeom prst="rect">
          <a:avLst/>
        </a:prstGeom>
        <a:ln w="0">
          <a:noFill/>
        </a:ln>
      </xdr:spPr>
    </xdr:pic>
    <xdr:clientData/>
  </xdr:twoCellAnchor>
  <xdr:twoCellAnchor editAs="oneCell">
    <xdr:from>
      <xdr:col>7</xdr:col>
      <xdr:colOff>0</xdr:colOff>
      <xdr:row>137</xdr:row>
      <xdr:rowOff>325800</xdr:rowOff>
    </xdr:from>
    <xdr:to>
      <xdr:col>7</xdr:col>
      <xdr:colOff>418320</xdr:colOff>
      <xdr:row>144</xdr:row>
      <xdr:rowOff>306000</xdr:rowOff>
    </xdr:to>
    <xdr:pic>
      <xdr:nvPicPr>
        <xdr:cNvPr id="138" name="Image 137" descr="Picture">
          <a:extLst>
            <a:ext uri="{FF2B5EF4-FFF2-40B4-BE49-F238E27FC236}">
              <a16:creationId xmlns:a16="http://schemas.microsoft.com/office/drawing/2014/main" id="{00000000-0008-0000-0100-00008A000000}"/>
            </a:ext>
          </a:extLst>
        </xdr:cNvPr>
        <xdr:cNvPicPr/>
      </xdr:nvPicPr>
      <xdr:blipFill>
        <a:blip xmlns:r="http://schemas.openxmlformats.org/officeDocument/2006/relationships" r:embed="rId137"/>
        <a:stretch/>
      </xdr:blipFill>
      <xdr:spPr>
        <a:xfrm>
          <a:off x="6883560" y="60009480"/>
          <a:ext cx="418320" cy="418320"/>
        </a:xfrm>
        <a:prstGeom prst="rect">
          <a:avLst/>
        </a:prstGeom>
        <a:ln w="0">
          <a:noFill/>
        </a:ln>
      </xdr:spPr>
    </xdr:pic>
    <xdr:clientData/>
  </xdr:twoCellAnchor>
  <xdr:twoCellAnchor editAs="oneCell">
    <xdr:from>
      <xdr:col>7</xdr:col>
      <xdr:colOff>0</xdr:colOff>
      <xdr:row>138</xdr:row>
      <xdr:rowOff>325800</xdr:rowOff>
    </xdr:from>
    <xdr:to>
      <xdr:col>7</xdr:col>
      <xdr:colOff>418320</xdr:colOff>
      <xdr:row>144</xdr:row>
      <xdr:rowOff>418350</xdr:rowOff>
    </xdr:to>
    <xdr:pic>
      <xdr:nvPicPr>
        <xdr:cNvPr id="139" name="Image 138" descr="Picture">
          <a:extLst>
            <a:ext uri="{FF2B5EF4-FFF2-40B4-BE49-F238E27FC236}">
              <a16:creationId xmlns:a16="http://schemas.microsoft.com/office/drawing/2014/main" id="{00000000-0008-0000-0100-00008B000000}"/>
            </a:ext>
          </a:extLst>
        </xdr:cNvPr>
        <xdr:cNvPicPr/>
      </xdr:nvPicPr>
      <xdr:blipFill>
        <a:blip xmlns:r="http://schemas.openxmlformats.org/officeDocument/2006/relationships" r:embed="rId138"/>
        <a:stretch/>
      </xdr:blipFill>
      <xdr:spPr>
        <a:xfrm>
          <a:off x="6883560" y="60447600"/>
          <a:ext cx="418320" cy="418320"/>
        </a:xfrm>
        <a:prstGeom prst="rect">
          <a:avLst/>
        </a:prstGeom>
        <a:ln w="0">
          <a:noFill/>
        </a:ln>
      </xdr:spPr>
    </xdr:pic>
    <xdr:clientData/>
  </xdr:twoCellAnchor>
  <xdr:twoCellAnchor editAs="oneCell">
    <xdr:from>
      <xdr:col>7</xdr:col>
      <xdr:colOff>0</xdr:colOff>
      <xdr:row>139</xdr:row>
      <xdr:rowOff>325800</xdr:rowOff>
    </xdr:from>
    <xdr:to>
      <xdr:col>7</xdr:col>
      <xdr:colOff>418320</xdr:colOff>
      <xdr:row>144</xdr:row>
      <xdr:rowOff>418350</xdr:rowOff>
    </xdr:to>
    <xdr:pic>
      <xdr:nvPicPr>
        <xdr:cNvPr id="140" name="Image 139" descr="Picture">
          <a:extLst>
            <a:ext uri="{FF2B5EF4-FFF2-40B4-BE49-F238E27FC236}">
              <a16:creationId xmlns:a16="http://schemas.microsoft.com/office/drawing/2014/main" id="{00000000-0008-0000-0100-00008C000000}"/>
            </a:ext>
          </a:extLst>
        </xdr:cNvPr>
        <xdr:cNvPicPr/>
      </xdr:nvPicPr>
      <xdr:blipFill>
        <a:blip xmlns:r="http://schemas.openxmlformats.org/officeDocument/2006/relationships" r:embed="rId139"/>
        <a:stretch/>
      </xdr:blipFill>
      <xdr:spPr>
        <a:xfrm>
          <a:off x="6883560" y="60885720"/>
          <a:ext cx="418320" cy="418320"/>
        </a:xfrm>
        <a:prstGeom prst="rect">
          <a:avLst/>
        </a:prstGeom>
        <a:ln w="0">
          <a:noFill/>
        </a:ln>
      </xdr:spPr>
    </xdr:pic>
    <xdr:clientData/>
  </xdr:twoCellAnchor>
  <xdr:twoCellAnchor editAs="oneCell">
    <xdr:from>
      <xdr:col>7</xdr:col>
      <xdr:colOff>0</xdr:colOff>
      <xdr:row>140</xdr:row>
      <xdr:rowOff>325800</xdr:rowOff>
    </xdr:from>
    <xdr:to>
      <xdr:col>7</xdr:col>
      <xdr:colOff>418320</xdr:colOff>
      <xdr:row>144</xdr:row>
      <xdr:rowOff>418350</xdr:rowOff>
    </xdr:to>
    <xdr:pic>
      <xdr:nvPicPr>
        <xdr:cNvPr id="141" name="Image 140" descr="Picture">
          <a:extLst>
            <a:ext uri="{FF2B5EF4-FFF2-40B4-BE49-F238E27FC236}">
              <a16:creationId xmlns:a16="http://schemas.microsoft.com/office/drawing/2014/main" id="{00000000-0008-0000-0100-00008D000000}"/>
            </a:ext>
          </a:extLst>
        </xdr:cNvPr>
        <xdr:cNvPicPr/>
      </xdr:nvPicPr>
      <xdr:blipFill>
        <a:blip xmlns:r="http://schemas.openxmlformats.org/officeDocument/2006/relationships" r:embed="rId140"/>
        <a:stretch/>
      </xdr:blipFill>
      <xdr:spPr>
        <a:xfrm>
          <a:off x="6883560" y="61323840"/>
          <a:ext cx="418320" cy="418320"/>
        </a:xfrm>
        <a:prstGeom prst="rect">
          <a:avLst/>
        </a:prstGeom>
        <a:ln w="0">
          <a:noFill/>
        </a:ln>
      </xdr:spPr>
    </xdr:pic>
    <xdr:clientData/>
  </xdr:twoCellAnchor>
  <xdr:twoCellAnchor editAs="oneCell">
    <xdr:from>
      <xdr:col>7</xdr:col>
      <xdr:colOff>0</xdr:colOff>
      <xdr:row>141</xdr:row>
      <xdr:rowOff>325800</xdr:rowOff>
    </xdr:from>
    <xdr:to>
      <xdr:col>7</xdr:col>
      <xdr:colOff>418320</xdr:colOff>
      <xdr:row>144</xdr:row>
      <xdr:rowOff>418350</xdr:rowOff>
    </xdr:to>
    <xdr:pic>
      <xdr:nvPicPr>
        <xdr:cNvPr id="142" name="Image 141" descr="Picture">
          <a:extLst>
            <a:ext uri="{FF2B5EF4-FFF2-40B4-BE49-F238E27FC236}">
              <a16:creationId xmlns:a16="http://schemas.microsoft.com/office/drawing/2014/main" id="{00000000-0008-0000-0100-00008E000000}"/>
            </a:ext>
          </a:extLst>
        </xdr:cNvPr>
        <xdr:cNvPicPr/>
      </xdr:nvPicPr>
      <xdr:blipFill>
        <a:blip xmlns:r="http://schemas.openxmlformats.org/officeDocument/2006/relationships" r:embed="rId141"/>
        <a:stretch/>
      </xdr:blipFill>
      <xdr:spPr>
        <a:xfrm>
          <a:off x="6883560" y="61761960"/>
          <a:ext cx="418320" cy="418320"/>
        </a:xfrm>
        <a:prstGeom prst="rect">
          <a:avLst/>
        </a:prstGeom>
        <a:ln w="0">
          <a:noFill/>
        </a:ln>
      </xdr:spPr>
    </xdr:pic>
    <xdr:clientData/>
  </xdr:twoCellAnchor>
  <xdr:twoCellAnchor editAs="oneCell">
    <xdr:from>
      <xdr:col>7</xdr:col>
      <xdr:colOff>0</xdr:colOff>
      <xdr:row>142</xdr:row>
      <xdr:rowOff>325800</xdr:rowOff>
    </xdr:from>
    <xdr:to>
      <xdr:col>7</xdr:col>
      <xdr:colOff>418320</xdr:colOff>
      <xdr:row>144</xdr:row>
      <xdr:rowOff>418350</xdr:rowOff>
    </xdr:to>
    <xdr:pic>
      <xdr:nvPicPr>
        <xdr:cNvPr id="143" name="Image 142" descr="Picture">
          <a:extLst>
            <a:ext uri="{FF2B5EF4-FFF2-40B4-BE49-F238E27FC236}">
              <a16:creationId xmlns:a16="http://schemas.microsoft.com/office/drawing/2014/main" id="{00000000-0008-0000-0100-00008F000000}"/>
            </a:ext>
          </a:extLst>
        </xdr:cNvPr>
        <xdr:cNvPicPr/>
      </xdr:nvPicPr>
      <xdr:blipFill>
        <a:blip xmlns:r="http://schemas.openxmlformats.org/officeDocument/2006/relationships" r:embed="rId142"/>
        <a:stretch/>
      </xdr:blipFill>
      <xdr:spPr>
        <a:xfrm>
          <a:off x="6883560" y="62200080"/>
          <a:ext cx="418320" cy="418320"/>
        </a:xfrm>
        <a:prstGeom prst="rect">
          <a:avLst/>
        </a:prstGeom>
        <a:ln w="0">
          <a:noFill/>
        </a:ln>
      </xdr:spPr>
    </xdr:pic>
    <xdr:clientData/>
  </xdr:twoCellAnchor>
  <xdr:twoCellAnchor editAs="oneCell">
    <xdr:from>
      <xdr:col>7</xdr:col>
      <xdr:colOff>0</xdr:colOff>
      <xdr:row>143</xdr:row>
      <xdr:rowOff>325800</xdr:rowOff>
    </xdr:from>
    <xdr:to>
      <xdr:col>7</xdr:col>
      <xdr:colOff>418320</xdr:colOff>
      <xdr:row>144</xdr:row>
      <xdr:rowOff>418350</xdr:rowOff>
    </xdr:to>
    <xdr:pic>
      <xdr:nvPicPr>
        <xdr:cNvPr id="144" name="Image 143" descr="Picture">
          <a:extLst>
            <a:ext uri="{FF2B5EF4-FFF2-40B4-BE49-F238E27FC236}">
              <a16:creationId xmlns:a16="http://schemas.microsoft.com/office/drawing/2014/main" id="{00000000-0008-0000-0100-000090000000}"/>
            </a:ext>
          </a:extLst>
        </xdr:cNvPr>
        <xdr:cNvPicPr/>
      </xdr:nvPicPr>
      <xdr:blipFill>
        <a:blip xmlns:r="http://schemas.openxmlformats.org/officeDocument/2006/relationships" r:embed="rId143"/>
        <a:stretch/>
      </xdr:blipFill>
      <xdr:spPr>
        <a:xfrm>
          <a:off x="6883560" y="62638200"/>
          <a:ext cx="418320" cy="418680"/>
        </a:xfrm>
        <a:prstGeom prst="rect">
          <a:avLst/>
        </a:prstGeom>
        <a:ln w="0">
          <a:noFill/>
        </a:ln>
      </xdr:spPr>
    </xdr:pic>
    <xdr:clientData/>
  </xdr:twoCellAnchor>
  <xdr:twoCellAnchor editAs="oneCell">
    <xdr:from>
      <xdr:col>7</xdr:col>
      <xdr:colOff>0</xdr:colOff>
      <xdr:row>144</xdr:row>
      <xdr:rowOff>325800</xdr:rowOff>
    </xdr:from>
    <xdr:to>
      <xdr:col>7</xdr:col>
      <xdr:colOff>418320</xdr:colOff>
      <xdr:row>145</xdr:row>
      <xdr:rowOff>306000</xdr:rowOff>
    </xdr:to>
    <xdr:pic>
      <xdr:nvPicPr>
        <xdr:cNvPr id="145" name="Image 144" descr="Picture">
          <a:extLst>
            <a:ext uri="{FF2B5EF4-FFF2-40B4-BE49-F238E27FC236}">
              <a16:creationId xmlns:a16="http://schemas.microsoft.com/office/drawing/2014/main" id="{00000000-0008-0000-0100-000091000000}"/>
            </a:ext>
          </a:extLst>
        </xdr:cNvPr>
        <xdr:cNvPicPr/>
      </xdr:nvPicPr>
      <xdr:blipFill>
        <a:blip xmlns:r="http://schemas.openxmlformats.org/officeDocument/2006/relationships" r:embed="rId144"/>
        <a:stretch/>
      </xdr:blipFill>
      <xdr:spPr>
        <a:xfrm>
          <a:off x="6883560" y="63076680"/>
          <a:ext cx="418320" cy="418320"/>
        </a:xfrm>
        <a:prstGeom prst="rect">
          <a:avLst/>
        </a:prstGeom>
        <a:ln w="0">
          <a:noFill/>
        </a:ln>
      </xdr:spPr>
    </xdr:pic>
    <xdr:clientData/>
  </xdr:twoCellAnchor>
  <xdr:twoCellAnchor editAs="oneCell">
    <xdr:from>
      <xdr:col>7</xdr:col>
      <xdr:colOff>0</xdr:colOff>
      <xdr:row>145</xdr:row>
      <xdr:rowOff>325800</xdr:rowOff>
    </xdr:from>
    <xdr:to>
      <xdr:col>7</xdr:col>
      <xdr:colOff>418320</xdr:colOff>
      <xdr:row>148</xdr:row>
      <xdr:rowOff>305640</xdr:rowOff>
    </xdr:to>
    <xdr:pic>
      <xdr:nvPicPr>
        <xdr:cNvPr id="146" name="Image 145" descr="Picture">
          <a:extLst>
            <a:ext uri="{FF2B5EF4-FFF2-40B4-BE49-F238E27FC236}">
              <a16:creationId xmlns:a16="http://schemas.microsoft.com/office/drawing/2014/main" id="{00000000-0008-0000-0100-000092000000}"/>
            </a:ext>
          </a:extLst>
        </xdr:cNvPr>
        <xdr:cNvPicPr/>
      </xdr:nvPicPr>
      <xdr:blipFill>
        <a:blip xmlns:r="http://schemas.openxmlformats.org/officeDocument/2006/relationships" r:embed="rId145"/>
        <a:stretch/>
      </xdr:blipFill>
      <xdr:spPr>
        <a:xfrm>
          <a:off x="6883560" y="63514800"/>
          <a:ext cx="418320" cy="417960"/>
        </a:xfrm>
        <a:prstGeom prst="rect">
          <a:avLst/>
        </a:prstGeom>
        <a:ln w="0">
          <a:noFill/>
        </a:ln>
      </xdr:spPr>
    </xdr:pic>
    <xdr:clientData/>
  </xdr:twoCellAnchor>
  <xdr:twoCellAnchor editAs="oneCell">
    <xdr:from>
      <xdr:col>7</xdr:col>
      <xdr:colOff>0</xdr:colOff>
      <xdr:row>146</xdr:row>
      <xdr:rowOff>325440</xdr:rowOff>
    </xdr:from>
    <xdr:to>
      <xdr:col>7</xdr:col>
      <xdr:colOff>418320</xdr:colOff>
      <xdr:row>148</xdr:row>
      <xdr:rowOff>418350</xdr:rowOff>
    </xdr:to>
    <xdr:pic>
      <xdr:nvPicPr>
        <xdr:cNvPr id="147" name="Image 146" descr="Picture">
          <a:extLst>
            <a:ext uri="{FF2B5EF4-FFF2-40B4-BE49-F238E27FC236}">
              <a16:creationId xmlns:a16="http://schemas.microsoft.com/office/drawing/2014/main" id="{00000000-0008-0000-0100-000093000000}"/>
            </a:ext>
          </a:extLst>
        </xdr:cNvPr>
        <xdr:cNvPicPr/>
      </xdr:nvPicPr>
      <xdr:blipFill>
        <a:blip xmlns:r="http://schemas.openxmlformats.org/officeDocument/2006/relationships" r:embed="rId146"/>
        <a:stretch/>
      </xdr:blipFill>
      <xdr:spPr>
        <a:xfrm>
          <a:off x="6883560" y="63952560"/>
          <a:ext cx="418320" cy="418320"/>
        </a:xfrm>
        <a:prstGeom prst="rect">
          <a:avLst/>
        </a:prstGeom>
        <a:ln w="0">
          <a:noFill/>
        </a:ln>
      </xdr:spPr>
    </xdr:pic>
    <xdr:clientData/>
  </xdr:twoCellAnchor>
  <xdr:twoCellAnchor editAs="oneCell">
    <xdr:from>
      <xdr:col>7</xdr:col>
      <xdr:colOff>0</xdr:colOff>
      <xdr:row>147</xdr:row>
      <xdr:rowOff>325800</xdr:rowOff>
    </xdr:from>
    <xdr:to>
      <xdr:col>7</xdr:col>
      <xdr:colOff>418320</xdr:colOff>
      <xdr:row>148</xdr:row>
      <xdr:rowOff>418350</xdr:rowOff>
    </xdr:to>
    <xdr:pic>
      <xdr:nvPicPr>
        <xdr:cNvPr id="148" name="Image 147" descr="Picture">
          <a:extLst>
            <a:ext uri="{FF2B5EF4-FFF2-40B4-BE49-F238E27FC236}">
              <a16:creationId xmlns:a16="http://schemas.microsoft.com/office/drawing/2014/main" id="{00000000-0008-0000-0100-000094000000}"/>
            </a:ext>
          </a:extLst>
        </xdr:cNvPr>
        <xdr:cNvPicPr/>
      </xdr:nvPicPr>
      <xdr:blipFill>
        <a:blip xmlns:r="http://schemas.openxmlformats.org/officeDocument/2006/relationships" r:embed="rId147"/>
        <a:stretch/>
      </xdr:blipFill>
      <xdr:spPr>
        <a:xfrm>
          <a:off x="6883560" y="64391040"/>
          <a:ext cx="418320" cy="418320"/>
        </a:xfrm>
        <a:prstGeom prst="rect">
          <a:avLst/>
        </a:prstGeom>
        <a:ln w="0">
          <a:noFill/>
        </a:ln>
      </xdr:spPr>
    </xdr:pic>
    <xdr:clientData/>
  </xdr:twoCellAnchor>
  <xdr:twoCellAnchor editAs="oneCell">
    <xdr:from>
      <xdr:col>7</xdr:col>
      <xdr:colOff>0</xdr:colOff>
      <xdr:row>148</xdr:row>
      <xdr:rowOff>325800</xdr:rowOff>
    </xdr:from>
    <xdr:to>
      <xdr:col>7</xdr:col>
      <xdr:colOff>418320</xdr:colOff>
      <xdr:row>163</xdr:row>
      <xdr:rowOff>306000</xdr:rowOff>
    </xdr:to>
    <xdr:pic>
      <xdr:nvPicPr>
        <xdr:cNvPr id="149" name="Image 148" descr="Picture">
          <a:extLst>
            <a:ext uri="{FF2B5EF4-FFF2-40B4-BE49-F238E27FC236}">
              <a16:creationId xmlns:a16="http://schemas.microsoft.com/office/drawing/2014/main" id="{00000000-0008-0000-0100-000095000000}"/>
            </a:ext>
          </a:extLst>
        </xdr:cNvPr>
        <xdr:cNvPicPr/>
      </xdr:nvPicPr>
      <xdr:blipFill>
        <a:blip xmlns:r="http://schemas.openxmlformats.org/officeDocument/2006/relationships" r:embed="rId148"/>
        <a:stretch/>
      </xdr:blipFill>
      <xdr:spPr>
        <a:xfrm>
          <a:off x="6883560" y="64829160"/>
          <a:ext cx="418320" cy="418320"/>
        </a:xfrm>
        <a:prstGeom prst="rect">
          <a:avLst/>
        </a:prstGeom>
        <a:ln w="0">
          <a:noFill/>
        </a:ln>
      </xdr:spPr>
    </xdr:pic>
    <xdr:clientData/>
  </xdr:twoCellAnchor>
  <xdr:twoCellAnchor editAs="oneCell">
    <xdr:from>
      <xdr:col>7</xdr:col>
      <xdr:colOff>0</xdr:colOff>
      <xdr:row>149</xdr:row>
      <xdr:rowOff>325800</xdr:rowOff>
    </xdr:from>
    <xdr:to>
      <xdr:col>7</xdr:col>
      <xdr:colOff>418320</xdr:colOff>
      <xdr:row>163</xdr:row>
      <xdr:rowOff>418350</xdr:rowOff>
    </xdr:to>
    <xdr:pic>
      <xdr:nvPicPr>
        <xdr:cNvPr id="150" name="Image 149" descr="Picture">
          <a:extLst>
            <a:ext uri="{FF2B5EF4-FFF2-40B4-BE49-F238E27FC236}">
              <a16:creationId xmlns:a16="http://schemas.microsoft.com/office/drawing/2014/main" id="{00000000-0008-0000-0100-000096000000}"/>
            </a:ext>
          </a:extLst>
        </xdr:cNvPr>
        <xdr:cNvPicPr/>
      </xdr:nvPicPr>
      <xdr:blipFill>
        <a:blip xmlns:r="http://schemas.openxmlformats.org/officeDocument/2006/relationships" r:embed="rId149"/>
        <a:stretch/>
      </xdr:blipFill>
      <xdr:spPr>
        <a:xfrm>
          <a:off x="6883560" y="65267280"/>
          <a:ext cx="418320" cy="418320"/>
        </a:xfrm>
        <a:prstGeom prst="rect">
          <a:avLst/>
        </a:prstGeom>
        <a:ln w="0">
          <a:noFill/>
        </a:ln>
      </xdr:spPr>
    </xdr:pic>
    <xdr:clientData/>
  </xdr:twoCellAnchor>
  <xdr:twoCellAnchor editAs="oneCell">
    <xdr:from>
      <xdr:col>7</xdr:col>
      <xdr:colOff>0</xdr:colOff>
      <xdr:row>150</xdr:row>
      <xdr:rowOff>325800</xdr:rowOff>
    </xdr:from>
    <xdr:to>
      <xdr:col>7</xdr:col>
      <xdr:colOff>418320</xdr:colOff>
      <xdr:row>163</xdr:row>
      <xdr:rowOff>418350</xdr:rowOff>
    </xdr:to>
    <xdr:pic>
      <xdr:nvPicPr>
        <xdr:cNvPr id="151" name="Image 150" descr="Picture">
          <a:extLst>
            <a:ext uri="{FF2B5EF4-FFF2-40B4-BE49-F238E27FC236}">
              <a16:creationId xmlns:a16="http://schemas.microsoft.com/office/drawing/2014/main" id="{00000000-0008-0000-0100-000097000000}"/>
            </a:ext>
          </a:extLst>
        </xdr:cNvPr>
        <xdr:cNvPicPr/>
      </xdr:nvPicPr>
      <xdr:blipFill>
        <a:blip xmlns:r="http://schemas.openxmlformats.org/officeDocument/2006/relationships" r:embed="rId150"/>
        <a:stretch/>
      </xdr:blipFill>
      <xdr:spPr>
        <a:xfrm>
          <a:off x="6883560" y="65705400"/>
          <a:ext cx="418320" cy="418320"/>
        </a:xfrm>
        <a:prstGeom prst="rect">
          <a:avLst/>
        </a:prstGeom>
        <a:ln w="0">
          <a:noFill/>
        </a:ln>
      </xdr:spPr>
    </xdr:pic>
    <xdr:clientData/>
  </xdr:twoCellAnchor>
  <xdr:twoCellAnchor editAs="oneCell">
    <xdr:from>
      <xdr:col>7</xdr:col>
      <xdr:colOff>0</xdr:colOff>
      <xdr:row>151</xdr:row>
      <xdr:rowOff>325800</xdr:rowOff>
    </xdr:from>
    <xdr:to>
      <xdr:col>7</xdr:col>
      <xdr:colOff>418320</xdr:colOff>
      <xdr:row>163</xdr:row>
      <xdr:rowOff>418350</xdr:rowOff>
    </xdr:to>
    <xdr:pic>
      <xdr:nvPicPr>
        <xdr:cNvPr id="152" name="Image 151" descr="Picture">
          <a:extLst>
            <a:ext uri="{FF2B5EF4-FFF2-40B4-BE49-F238E27FC236}">
              <a16:creationId xmlns:a16="http://schemas.microsoft.com/office/drawing/2014/main" id="{00000000-0008-0000-0100-000098000000}"/>
            </a:ext>
          </a:extLst>
        </xdr:cNvPr>
        <xdr:cNvPicPr/>
      </xdr:nvPicPr>
      <xdr:blipFill>
        <a:blip xmlns:r="http://schemas.openxmlformats.org/officeDocument/2006/relationships" r:embed="rId151"/>
        <a:stretch/>
      </xdr:blipFill>
      <xdr:spPr>
        <a:xfrm>
          <a:off x="6883560" y="66143520"/>
          <a:ext cx="418320" cy="418320"/>
        </a:xfrm>
        <a:prstGeom prst="rect">
          <a:avLst/>
        </a:prstGeom>
        <a:ln w="0">
          <a:noFill/>
        </a:ln>
      </xdr:spPr>
    </xdr:pic>
    <xdr:clientData/>
  </xdr:twoCellAnchor>
  <xdr:twoCellAnchor editAs="oneCell">
    <xdr:from>
      <xdr:col>7</xdr:col>
      <xdr:colOff>0</xdr:colOff>
      <xdr:row>152</xdr:row>
      <xdr:rowOff>325800</xdr:rowOff>
    </xdr:from>
    <xdr:to>
      <xdr:col>7</xdr:col>
      <xdr:colOff>418320</xdr:colOff>
      <xdr:row>163</xdr:row>
      <xdr:rowOff>418350</xdr:rowOff>
    </xdr:to>
    <xdr:pic>
      <xdr:nvPicPr>
        <xdr:cNvPr id="153" name="Image 152" descr="Picture">
          <a:extLst>
            <a:ext uri="{FF2B5EF4-FFF2-40B4-BE49-F238E27FC236}">
              <a16:creationId xmlns:a16="http://schemas.microsoft.com/office/drawing/2014/main" id="{00000000-0008-0000-0100-000099000000}"/>
            </a:ext>
          </a:extLst>
        </xdr:cNvPr>
        <xdr:cNvPicPr/>
      </xdr:nvPicPr>
      <xdr:blipFill>
        <a:blip xmlns:r="http://schemas.openxmlformats.org/officeDocument/2006/relationships" r:embed="rId152"/>
        <a:stretch/>
      </xdr:blipFill>
      <xdr:spPr>
        <a:xfrm>
          <a:off x="6883560" y="66581640"/>
          <a:ext cx="418320" cy="418320"/>
        </a:xfrm>
        <a:prstGeom prst="rect">
          <a:avLst/>
        </a:prstGeom>
        <a:ln w="0">
          <a:noFill/>
        </a:ln>
      </xdr:spPr>
    </xdr:pic>
    <xdr:clientData/>
  </xdr:twoCellAnchor>
  <xdr:twoCellAnchor editAs="oneCell">
    <xdr:from>
      <xdr:col>7</xdr:col>
      <xdr:colOff>0</xdr:colOff>
      <xdr:row>153</xdr:row>
      <xdr:rowOff>325800</xdr:rowOff>
    </xdr:from>
    <xdr:to>
      <xdr:col>7</xdr:col>
      <xdr:colOff>418320</xdr:colOff>
      <xdr:row>163</xdr:row>
      <xdr:rowOff>418350</xdr:rowOff>
    </xdr:to>
    <xdr:pic>
      <xdr:nvPicPr>
        <xdr:cNvPr id="154" name="Image 153" descr="Picture">
          <a:extLst>
            <a:ext uri="{FF2B5EF4-FFF2-40B4-BE49-F238E27FC236}">
              <a16:creationId xmlns:a16="http://schemas.microsoft.com/office/drawing/2014/main" id="{00000000-0008-0000-0100-00009A000000}"/>
            </a:ext>
          </a:extLst>
        </xdr:cNvPr>
        <xdr:cNvPicPr/>
      </xdr:nvPicPr>
      <xdr:blipFill>
        <a:blip xmlns:r="http://schemas.openxmlformats.org/officeDocument/2006/relationships" r:embed="rId153"/>
        <a:stretch/>
      </xdr:blipFill>
      <xdr:spPr>
        <a:xfrm>
          <a:off x="6883560" y="67019760"/>
          <a:ext cx="418320" cy="418320"/>
        </a:xfrm>
        <a:prstGeom prst="rect">
          <a:avLst/>
        </a:prstGeom>
        <a:ln w="0">
          <a:noFill/>
        </a:ln>
      </xdr:spPr>
    </xdr:pic>
    <xdr:clientData/>
  </xdr:twoCellAnchor>
  <xdr:twoCellAnchor editAs="oneCell">
    <xdr:from>
      <xdr:col>7</xdr:col>
      <xdr:colOff>0</xdr:colOff>
      <xdr:row>154</xdr:row>
      <xdr:rowOff>325800</xdr:rowOff>
    </xdr:from>
    <xdr:to>
      <xdr:col>7</xdr:col>
      <xdr:colOff>418320</xdr:colOff>
      <xdr:row>163</xdr:row>
      <xdr:rowOff>418350</xdr:rowOff>
    </xdr:to>
    <xdr:pic>
      <xdr:nvPicPr>
        <xdr:cNvPr id="155" name="Image 154" descr="Picture">
          <a:extLst>
            <a:ext uri="{FF2B5EF4-FFF2-40B4-BE49-F238E27FC236}">
              <a16:creationId xmlns:a16="http://schemas.microsoft.com/office/drawing/2014/main" id="{00000000-0008-0000-0100-00009B000000}"/>
            </a:ext>
          </a:extLst>
        </xdr:cNvPr>
        <xdr:cNvPicPr/>
      </xdr:nvPicPr>
      <xdr:blipFill>
        <a:blip xmlns:r="http://schemas.openxmlformats.org/officeDocument/2006/relationships" r:embed="rId154"/>
        <a:stretch/>
      </xdr:blipFill>
      <xdr:spPr>
        <a:xfrm>
          <a:off x="6883560" y="67457880"/>
          <a:ext cx="418320" cy="418320"/>
        </a:xfrm>
        <a:prstGeom prst="rect">
          <a:avLst/>
        </a:prstGeom>
        <a:ln w="0">
          <a:noFill/>
        </a:ln>
      </xdr:spPr>
    </xdr:pic>
    <xdr:clientData/>
  </xdr:twoCellAnchor>
  <xdr:twoCellAnchor editAs="oneCell">
    <xdr:from>
      <xdr:col>7</xdr:col>
      <xdr:colOff>0</xdr:colOff>
      <xdr:row>155</xdr:row>
      <xdr:rowOff>325800</xdr:rowOff>
    </xdr:from>
    <xdr:to>
      <xdr:col>7</xdr:col>
      <xdr:colOff>418320</xdr:colOff>
      <xdr:row>163</xdr:row>
      <xdr:rowOff>418350</xdr:rowOff>
    </xdr:to>
    <xdr:pic>
      <xdr:nvPicPr>
        <xdr:cNvPr id="156" name="Image 155" descr="Picture">
          <a:extLst>
            <a:ext uri="{FF2B5EF4-FFF2-40B4-BE49-F238E27FC236}">
              <a16:creationId xmlns:a16="http://schemas.microsoft.com/office/drawing/2014/main" id="{00000000-0008-0000-0100-00009C000000}"/>
            </a:ext>
          </a:extLst>
        </xdr:cNvPr>
        <xdr:cNvPicPr/>
      </xdr:nvPicPr>
      <xdr:blipFill>
        <a:blip xmlns:r="http://schemas.openxmlformats.org/officeDocument/2006/relationships" r:embed="rId155"/>
        <a:stretch/>
      </xdr:blipFill>
      <xdr:spPr>
        <a:xfrm>
          <a:off x="6883560" y="67896000"/>
          <a:ext cx="418320" cy="418680"/>
        </a:xfrm>
        <a:prstGeom prst="rect">
          <a:avLst/>
        </a:prstGeom>
        <a:ln w="0">
          <a:noFill/>
        </a:ln>
      </xdr:spPr>
    </xdr:pic>
    <xdr:clientData/>
  </xdr:twoCellAnchor>
  <xdr:twoCellAnchor editAs="oneCell">
    <xdr:from>
      <xdr:col>7</xdr:col>
      <xdr:colOff>0</xdr:colOff>
      <xdr:row>156</xdr:row>
      <xdr:rowOff>325800</xdr:rowOff>
    </xdr:from>
    <xdr:to>
      <xdr:col>7</xdr:col>
      <xdr:colOff>418320</xdr:colOff>
      <xdr:row>163</xdr:row>
      <xdr:rowOff>418350</xdr:rowOff>
    </xdr:to>
    <xdr:pic>
      <xdr:nvPicPr>
        <xdr:cNvPr id="157" name="Image 156" descr="Picture">
          <a:extLst>
            <a:ext uri="{FF2B5EF4-FFF2-40B4-BE49-F238E27FC236}">
              <a16:creationId xmlns:a16="http://schemas.microsoft.com/office/drawing/2014/main" id="{00000000-0008-0000-0100-00009D000000}"/>
            </a:ext>
          </a:extLst>
        </xdr:cNvPr>
        <xdr:cNvPicPr/>
      </xdr:nvPicPr>
      <xdr:blipFill>
        <a:blip xmlns:r="http://schemas.openxmlformats.org/officeDocument/2006/relationships" r:embed="rId156"/>
        <a:stretch/>
      </xdr:blipFill>
      <xdr:spPr>
        <a:xfrm>
          <a:off x="6883560" y="68334480"/>
          <a:ext cx="418320" cy="418320"/>
        </a:xfrm>
        <a:prstGeom prst="rect">
          <a:avLst/>
        </a:prstGeom>
        <a:ln w="0">
          <a:noFill/>
        </a:ln>
      </xdr:spPr>
    </xdr:pic>
    <xdr:clientData/>
  </xdr:twoCellAnchor>
  <xdr:twoCellAnchor editAs="oneCell">
    <xdr:from>
      <xdr:col>7</xdr:col>
      <xdr:colOff>0</xdr:colOff>
      <xdr:row>157</xdr:row>
      <xdr:rowOff>325800</xdr:rowOff>
    </xdr:from>
    <xdr:to>
      <xdr:col>7</xdr:col>
      <xdr:colOff>418320</xdr:colOff>
      <xdr:row>163</xdr:row>
      <xdr:rowOff>417990</xdr:rowOff>
    </xdr:to>
    <xdr:pic>
      <xdr:nvPicPr>
        <xdr:cNvPr id="158" name="Image 157" descr="Picture">
          <a:extLst>
            <a:ext uri="{FF2B5EF4-FFF2-40B4-BE49-F238E27FC236}">
              <a16:creationId xmlns:a16="http://schemas.microsoft.com/office/drawing/2014/main" id="{00000000-0008-0000-0100-00009E000000}"/>
            </a:ext>
          </a:extLst>
        </xdr:cNvPr>
        <xdr:cNvPicPr/>
      </xdr:nvPicPr>
      <xdr:blipFill>
        <a:blip xmlns:r="http://schemas.openxmlformats.org/officeDocument/2006/relationships" r:embed="rId157"/>
        <a:stretch/>
      </xdr:blipFill>
      <xdr:spPr>
        <a:xfrm>
          <a:off x="6883560" y="68772600"/>
          <a:ext cx="418320" cy="417960"/>
        </a:xfrm>
        <a:prstGeom prst="rect">
          <a:avLst/>
        </a:prstGeom>
        <a:ln w="0">
          <a:noFill/>
        </a:ln>
      </xdr:spPr>
    </xdr:pic>
    <xdr:clientData/>
  </xdr:twoCellAnchor>
  <xdr:twoCellAnchor editAs="oneCell">
    <xdr:from>
      <xdr:col>7</xdr:col>
      <xdr:colOff>0</xdr:colOff>
      <xdr:row>158</xdr:row>
      <xdr:rowOff>325440</xdr:rowOff>
    </xdr:from>
    <xdr:to>
      <xdr:col>7</xdr:col>
      <xdr:colOff>418320</xdr:colOff>
      <xdr:row>163</xdr:row>
      <xdr:rowOff>418350</xdr:rowOff>
    </xdr:to>
    <xdr:pic>
      <xdr:nvPicPr>
        <xdr:cNvPr id="159" name="Image 158" descr="Picture">
          <a:extLst>
            <a:ext uri="{FF2B5EF4-FFF2-40B4-BE49-F238E27FC236}">
              <a16:creationId xmlns:a16="http://schemas.microsoft.com/office/drawing/2014/main" id="{00000000-0008-0000-0100-00009F000000}"/>
            </a:ext>
          </a:extLst>
        </xdr:cNvPr>
        <xdr:cNvPicPr/>
      </xdr:nvPicPr>
      <xdr:blipFill>
        <a:blip xmlns:r="http://schemas.openxmlformats.org/officeDocument/2006/relationships" r:embed="rId158"/>
        <a:stretch/>
      </xdr:blipFill>
      <xdr:spPr>
        <a:xfrm>
          <a:off x="6883560" y="69210360"/>
          <a:ext cx="418320" cy="418320"/>
        </a:xfrm>
        <a:prstGeom prst="rect">
          <a:avLst/>
        </a:prstGeom>
        <a:ln w="0">
          <a:noFill/>
        </a:ln>
      </xdr:spPr>
    </xdr:pic>
    <xdr:clientData/>
  </xdr:twoCellAnchor>
  <xdr:twoCellAnchor editAs="oneCell">
    <xdr:from>
      <xdr:col>7</xdr:col>
      <xdr:colOff>0</xdr:colOff>
      <xdr:row>159</xdr:row>
      <xdr:rowOff>325800</xdr:rowOff>
    </xdr:from>
    <xdr:to>
      <xdr:col>7</xdr:col>
      <xdr:colOff>418320</xdr:colOff>
      <xdr:row>163</xdr:row>
      <xdr:rowOff>418350</xdr:rowOff>
    </xdr:to>
    <xdr:pic>
      <xdr:nvPicPr>
        <xdr:cNvPr id="160" name="Image 159" descr="Picture">
          <a:extLst>
            <a:ext uri="{FF2B5EF4-FFF2-40B4-BE49-F238E27FC236}">
              <a16:creationId xmlns:a16="http://schemas.microsoft.com/office/drawing/2014/main" id="{00000000-0008-0000-0100-0000A0000000}"/>
            </a:ext>
          </a:extLst>
        </xdr:cNvPr>
        <xdr:cNvPicPr/>
      </xdr:nvPicPr>
      <xdr:blipFill>
        <a:blip xmlns:r="http://schemas.openxmlformats.org/officeDocument/2006/relationships" r:embed="rId159"/>
        <a:stretch/>
      </xdr:blipFill>
      <xdr:spPr>
        <a:xfrm>
          <a:off x="6883560" y="69648840"/>
          <a:ext cx="418320" cy="418320"/>
        </a:xfrm>
        <a:prstGeom prst="rect">
          <a:avLst/>
        </a:prstGeom>
        <a:ln w="0">
          <a:noFill/>
        </a:ln>
      </xdr:spPr>
    </xdr:pic>
    <xdr:clientData/>
  </xdr:twoCellAnchor>
  <xdr:twoCellAnchor editAs="oneCell">
    <xdr:from>
      <xdr:col>7</xdr:col>
      <xdr:colOff>0</xdr:colOff>
      <xdr:row>160</xdr:row>
      <xdr:rowOff>325800</xdr:rowOff>
    </xdr:from>
    <xdr:to>
      <xdr:col>7</xdr:col>
      <xdr:colOff>418320</xdr:colOff>
      <xdr:row>163</xdr:row>
      <xdr:rowOff>418350</xdr:rowOff>
    </xdr:to>
    <xdr:pic>
      <xdr:nvPicPr>
        <xdr:cNvPr id="161" name="Image 160" descr="Picture">
          <a:extLst>
            <a:ext uri="{FF2B5EF4-FFF2-40B4-BE49-F238E27FC236}">
              <a16:creationId xmlns:a16="http://schemas.microsoft.com/office/drawing/2014/main" id="{00000000-0008-0000-0100-0000A1000000}"/>
            </a:ext>
          </a:extLst>
        </xdr:cNvPr>
        <xdr:cNvPicPr/>
      </xdr:nvPicPr>
      <xdr:blipFill>
        <a:blip xmlns:r="http://schemas.openxmlformats.org/officeDocument/2006/relationships" r:embed="rId160"/>
        <a:stretch/>
      </xdr:blipFill>
      <xdr:spPr>
        <a:xfrm>
          <a:off x="6883560" y="70086960"/>
          <a:ext cx="418320" cy="418320"/>
        </a:xfrm>
        <a:prstGeom prst="rect">
          <a:avLst/>
        </a:prstGeom>
        <a:ln w="0">
          <a:noFill/>
        </a:ln>
      </xdr:spPr>
    </xdr:pic>
    <xdr:clientData/>
  </xdr:twoCellAnchor>
  <xdr:twoCellAnchor editAs="oneCell">
    <xdr:from>
      <xdr:col>7</xdr:col>
      <xdr:colOff>0</xdr:colOff>
      <xdr:row>161</xdr:row>
      <xdr:rowOff>325800</xdr:rowOff>
    </xdr:from>
    <xdr:to>
      <xdr:col>7</xdr:col>
      <xdr:colOff>418320</xdr:colOff>
      <xdr:row>163</xdr:row>
      <xdr:rowOff>418350</xdr:rowOff>
    </xdr:to>
    <xdr:pic>
      <xdr:nvPicPr>
        <xdr:cNvPr id="162" name="Image 161" descr="Picture">
          <a:extLst>
            <a:ext uri="{FF2B5EF4-FFF2-40B4-BE49-F238E27FC236}">
              <a16:creationId xmlns:a16="http://schemas.microsoft.com/office/drawing/2014/main" id="{00000000-0008-0000-0100-0000A2000000}"/>
            </a:ext>
          </a:extLst>
        </xdr:cNvPr>
        <xdr:cNvPicPr/>
      </xdr:nvPicPr>
      <xdr:blipFill>
        <a:blip xmlns:r="http://schemas.openxmlformats.org/officeDocument/2006/relationships" r:embed="rId161"/>
        <a:stretch/>
      </xdr:blipFill>
      <xdr:spPr>
        <a:xfrm>
          <a:off x="6883560" y="70525080"/>
          <a:ext cx="418320" cy="418320"/>
        </a:xfrm>
        <a:prstGeom prst="rect">
          <a:avLst/>
        </a:prstGeom>
        <a:ln w="0">
          <a:noFill/>
        </a:ln>
      </xdr:spPr>
    </xdr:pic>
    <xdr:clientData/>
  </xdr:twoCellAnchor>
  <xdr:twoCellAnchor editAs="oneCell">
    <xdr:from>
      <xdr:col>7</xdr:col>
      <xdr:colOff>0</xdr:colOff>
      <xdr:row>162</xdr:row>
      <xdr:rowOff>325800</xdr:rowOff>
    </xdr:from>
    <xdr:to>
      <xdr:col>7</xdr:col>
      <xdr:colOff>418320</xdr:colOff>
      <xdr:row>163</xdr:row>
      <xdr:rowOff>418350</xdr:rowOff>
    </xdr:to>
    <xdr:pic>
      <xdr:nvPicPr>
        <xdr:cNvPr id="163" name="Image 162" descr="Picture">
          <a:extLst>
            <a:ext uri="{FF2B5EF4-FFF2-40B4-BE49-F238E27FC236}">
              <a16:creationId xmlns:a16="http://schemas.microsoft.com/office/drawing/2014/main" id="{00000000-0008-0000-0100-0000A3000000}"/>
            </a:ext>
          </a:extLst>
        </xdr:cNvPr>
        <xdr:cNvPicPr/>
      </xdr:nvPicPr>
      <xdr:blipFill>
        <a:blip xmlns:r="http://schemas.openxmlformats.org/officeDocument/2006/relationships" r:embed="rId162"/>
        <a:stretch/>
      </xdr:blipFill>
      <xdr:spPr>
        <a:xfrm>
          <a:off x="6883560" y="70963200"/>
          <a:ext cx="418320" cy="418320"/>
        </a:xfrm>
        <a:prstGeom prst="rect">
          <a:avLst/>
        </a:prstGeom>
        <a:ln w="0">
          <a:noFill/>
        </a:ln>
      </xdr:spPr>
    </xdr:pic>
    <xdr:clientData/>
  </xdr:twoCellAnchor>
  <xdr:twoCellAnchor editAs="oneCell">
    <xdr:from>
      <xdr:col>7</xdr:col>
      <xdr:colOff>0</xdr:colOff>
      <xdr:row>163</xdr:row>
      <xdr:rowOff>325800</xdr:rowOff>
    </xdr:from>
    <xdr:to>
      <xdr:col>7</xdr:col>
      <xdr:colOff>418320</xdr:colOff>
      <xdr:row>164</xdr:row>
      <xdr:rowOff>306000</xdr:rowOff>
    </xdr:to>
    <xdr:pic>
      <xdr:nvPicPr>
        <xdr:cNvPr id="164" name="Image 163" descr="Picture">
          <a:extLst>
            <a:ext uri="{FF2B5EF4-FFF2-40B4-BE49-F238E27FC236}">
              <a16:creationId xmlns:a16="http://schemas.microsoft.com/office/drawing/2014/main" id="{00000000-0008-0000-0100-0000A4000000}"/>
            </a:ext>
          </a:extLst>
        </xdr:cNvPr>
        <xdr:cNvPicPr/>
      </xdr:nvPicPr>
      <xdr:blipFill>
        <a:blip xmlns:r="http://schemas.openxmlformats.org/officeDocument/2006/relationships" r:embed="rId163"/>
        <a:stretch/>
      </xdr:blipFill>
      <xdr:spPr>
        <a:xfrm>
          <a:off x="6883560" y="71401320"/>
          <a:ext cx="418320" cy="418320"/>
        </a:xfrm>
        <a:prstGeom prst="rect">
          <a:avLst/>
        </a:prstGeom>
        <a:ln w="0">
          <a:noFill/>
        </a:ln>
      </xdr:spPr>
    </xdr:pic>
    <xdr:clientData/>
  </xdr:twoCellAnchor>
  <xdr:twoCellAnchor editAs="oneCell">
    <xdr:from>
      <xdr:col>7</xdr:col>
      <xdr:colOff>0</xdr:colOff>
      <xdr:row>164</xdr:row>
      <xdr:rowOff>325800</xdr:rowOff>
    </xdr:from>
    <xdr:to>
      <xdr:col>7</xdr:col>
      <xdr:colOff>418320</xdr:colOff>
      <xdr:row>182</xdr:row>
      <xdr:rowOff>306000</xdr:rowOff>
    </xdr:to>
    <xdr:pic>
      <xdr:nvPicPr>
        <xdr:cNvPr id="165" name="Image 164" descr="Picture">
          <a:extLst>
            <a:ext uri="{FF2B5EF4-FFF2-40B4-BE49-F238E27FC236}">
              <a16:creationId xmlns:a16="http://schemas.microsoft.com/office/drawing/2014/main" id="{00000000-0008-0000-0100-0000A5000000}"/>
            </a:ext>
          </a:extLst>
        </xdr:cNvPr>
        <xdr:cNvPicPr/>
      </xdr:nvPicPr>
      <xdr:blipFill>
        <a:blip xmlns:r="http://schemas.openxmlformats.org/officeDocument/2006/relationships" r:embed="rId164"/>
        <a:stretch/>
      </xdr:blipFill>
      <xdr:spPr>
        <a:xfrm>
          <a:off x="6883560" y="71839440"/>
          <a:ext cx="418320" cy="418320"/>
        </a:xfrm>
        <a:prstGeom prst="rect">
          <a:avLst/>
        </a:prstGeom>
        <a:ln w="0">
          <a:noFill/>
        </a:ln>
      </xdr:spPr>
    </xdr:pic>
    <xdr:clientData/>
  </xdr:twoCellAnchor>
  <xdr:twoCellAnchor editAs="oneCell">
    <xdr:from>
      <xdr:col>7</xdr:col>
      <xdr:colOff>0</xdr:colOff>
      <xdr:row>165</xdr:row>
      <xdr:rowOff>325800</xdr:rowOff>
    </xdr:from>
    <xdr:to>
      <xdr:col>7</xdr:col>
      <xdr:colOff>418320</xdr:colOff>
      <xdr:row>182</xdr:row>
      <xdr:rowOff>418350</xdr:rowOff>
    </xdr:to>
    <xdr:pic>
      <xdr:nvPicPr>
        <xdr:cNvPr id="166" name="Image 165" descr="Picture">
          <a:extLst>
            <a:ext uri="{FF2B5EF4-FFF2-40B4-BE49-F238E27FC236}">
              <a16:creationId xmlns:a16="http://schemas.microsoft.com/office/drawing/2014/main" id="{00000000-0008-0000-0100-0000A6000000}"/>
            </a:ext>
          </a:extLst>
        </xdr:cNvPr>
        <xdr:cNvPicPr/>
      </xdr:nvPicPr>
      <xdr:blipFill>
        <a:blip xmlns:r="http://schemas.openxmlformats.org/officeDocument/2006/relationships" r:embed="rId165"/>
        <a:stretch/>
      </xdr:blipFill>
      <xdr:spPr>
        <a:xfrm>
          <a:off x="6883560" y="72277560"/>
          <a:ext cx="418320" cy="418320"/>
        </a:xfrm>
        <a:prstGeom prst="rect">
          <a:avLst/>
        </a:prstGeom>
        <a:ln w="0">
          <a:noFill/>
        </a:ln>
      </xdr:spPr>
    </xdr:pic>
    <xdr:clientData/>
  </xdr:twoCellAnchor>
  <xdr:twoCellAnchor editAs="oneCell">
    <xdr:from>
      <xdr:col>7</xdr:col>
      <xdr:colOff>0</xdr:colOff>
      <xdr:row>166</xdr:row>
      <xdr:rowOff>325800</xdr:rowOff>
    </xdr:from>
    <xdr:to>
      <xdr:col>7</xdr:col>
      <xdr:colOff>418320</xdr:colOff>
      <xdr:row>182</xdr:row>
      <xdr:rowOff>418350</xdr:rowOff>
    </xdr:to>
    <xdr:pic>
      <xdr:nvPicPr>
        <xdr:cNvPr id="167" name="Image 166" descr="Picture">
          <a:extLst>
            <a:ext uri="{FF2B5EF4-FFF2-40B4-BE49-F238E27FC236}">
              <a16:creationId xmlns:a16="http://schemas.microsoft.com/office/drawing/2014/main" id="{00000000-0008-0000-0100-0000A7000000}"/>
            </a:ext>
          </a:extLst>
        </xdr:cNvPr>
        <xdr:cNvPicPr/>
      </xdr:nvPicPr>
      <xdr:blipFill>
        <a:blip xmlns:r="http://schemas.openxmlformats.org/officeDocument/2006/relationships" r:embed="rId166"/>
        <a:stretch/>
      </xdr:blipFill>
      <xdr:spPr>
        <a:xfrm>
          <a:off x="6883560" y="72715680"/>
          <a:ext cx="418320" cy="418320"/>
        </a:xfrm>
        <a:prstGeom prst="rect">
          <a:avLst/>
        </a:prstGeom>
        <a:ln w="0">
          <a:noFill/>
        </a:ln>
      </xdr:spPr>
    </xdr:pic>
    <xdr:clientData/>
  </xdr:twoCellAnchor>
  <xdr:twoCellAnchor editAs="oneCell">
    <xdr:from>
      <xdr:col>7</xdr:col>
      <xdr:colOff>0</xdr:colOff>
      <xdr:row>167</xdr:row>
      <xdr:rowOff>325800</xdr:rowOff>
    </xdr:from>
    <xdr:to>
      <xdr:col>7</xdr:col>
      <xdr:colOff>418320</xdr:colOff>
      <xdr:row>182</xdr:row>
      <xdr:rowOff>418350</xdr:rowOff>
    </xdr:to>
    <xdr:pic>
      <xdr:nvPicPr>
        <xdr:cNvPr id="168" name="Image 167" descr="Picture">
          <a:extLst>
            <a:ext uri="{FF2B5EF4-FFF2-40B4-BE49-F238E27FC236}">
              <a16:creationId xmlns:a16="http://schemas.microsoft.com/office/drawing/2014/main" id="{00000000-0008-0000-0100-0000A8000000}"/>
            </a:ext>
          </a:extLst>
        </xdr:cNvPr>
        <xdr:cNvPicPr/>
      </xdr:nvPicPr>
      <xdr:blipFill>
        <a:blip xmlns:r="http://schemas.openxmlformats.org/officeDocument/2006/relationships" r:embed="rId167"/>
        <a:stretch/>
      </xdr:blipFill>
      <xdr:spPr>
        <a:xfrm>
          <a:off x="6883560" y="73153800"/>
          <a:ext cx="418320" cy="418680"/>
        </a:xfrm>
        <a:prstGeom prst="rect">
          <a:avLst/>
        </a:prstGeom>
        <a:ln w="0">
          <a:noFill/>
        </a:ln>
      </xdr:spPr>
    </xdr:pic>
    <xdr:clientData/>
  </xdr:twoCellAnchor>
  <xdr:twoCellAnchor editAs="oneCell">
    <xdr:from>
      <xdr:col>7</xdr:col>
      <xdr:colOff>0</xdr:colOff>
      <xdr:row>168</xdr:row>
      <xdr:rowOff>325800</xdr:rowOff>
    </xdr:from>
    <xdr:to>
      <xdr:col>7</xdr:col>
      <xdr:colOff>418320</xdr:colOff>
      <xdr:row>182</xdr:row>
      <xdr:rowOff>418350</xdr:rowOff>
    </xdr:to>
    <xdr:pic>
      <xdr:nvPicPr>
        <xdr:cNvPr id="169" name="Image 168" descr="Picture">
          <a:extLst>
            <a:ext uri="{FF2B5EF4-FFF2-40B4-BE49-F238E27FC236}">
              <a16:creationId xmlns:a16="http://schemas.microsoft.com/office/drawing/2014/main" id="{00000000-0008-0000-0100-0000A9000000}"/>
            </a:ext>
          </a:extLst>
        </xdr:cNvPr>
        <xdr:cNvPicPr/>
      </xdr:nvPicPr>
      <xdr:blipFill>
        <a:blip xmlns:r="http://schemas.openxmlformats.org/officeDocument/2006/relationships" r:embed="rId168"/>
        <a:stretch/>
      </xdr:blipFill>
      <xdr:spPr>
        <a:xfrm>
          <a:off x="6883560" y="73592280"/>
          <a:ext cx="418320" cy="418320"/>
        </a:xfrm>
        <a:prstGeom prst="rect">
          <a:avLst/>
        </a:prstGeom>
        <a:ln w="0">
          <a:noFill/>
        </a:ln>
      </xdr:spPr>
    </xdr:pic>
    <xdr:clientData/>
  </xdr:twoCellAnchor>
  <xdr:twoCellAnchor editAs="oneCell">
    <xdr:from>
      <xdr:col>7</xdr:col>
      <xdr:colOff>0</xdr:colOff>
      <xdr:row>169</xdr:row>
      <xdr:rowOff>325800</xdr:rowOff>
    </xdr:from>
    <xdr:to>
      <xdr:col>7</xdr:col>
      <xdr:colOff>418320</xdr:colOff>
      <xdr:row>182</xdr:row>
      <xdr:rowOff>417990</xdr:rowOff>
    </xdr:to>
    <xdr:pic>
      <xdr:nvPicPr>
        <xdr:cNvPr id="170" name="Image 169" descr="Picture">
          <a:extLst>
            <a:ext uri="{FF2B5EF4-FFF2-40B4-BE49-F238E27FC236}">
              <a16:creationId xmlns:a16="http://schemas.microsoft.com/office/drawing/2014/main" id="{00000000-0008-0000-0100-0000AA000000}"/>
            </a:ext>
          </a:extLst>
        </xdr:cNvPr>
        <xdr:cNvPicPr/>
      </xdr:nvPicPr>
      <xdr:blipFill>
        <a:blip xmlns:r="http://schemas.openxmlformats.org/officeDocument/2006/relationships" r:embed="rId169"/>
        <a:stretch/>
      </xdr:blipFill>
      <xdr:spPr>
        <a:xfrm>
          <a:off x="6883560" y="74030400"/>
          <a:ext cx="418320" cy="417960"/>
        </a:xfrm>
        <a:prstGeom prst="rect">
          <a:avLst/>
        </a:prstGeom>
        <a:ln w="0">
          <a:noFill/>
        </a:ln>
      </xdr:spPr>
    </xdr:pic>
    <xdr:clientData/>
  </xdr:twoCellAnchor>
  <xdr:twoCellAnchor editAs="oneCell">
    <xdr:from>
      <xdr:col>7</xdr:col>
      <xdr:colOff>0</xdr:colOff>
      <xdr:row>170</xdr:row>
      <xdr:rowOff>325440</xdr:rowOff>
    </xdr:from>
    <xdr:to>
      <xdr:col>7</xdr:col>
      <xdr:colOff>418320</xdr:colOff>
      <xdr:row>182</xdr:row>
      <xdr:rowOff>418350</xdr:rowOff>
    </xdr:to>
    <xdr:pic>
      <xdr:nvPicPr>
        <xdr:cNvPr id="171" name="Image 170" descr="Picture">
          <a:extLst>
            <a:ext uri="{FF2B5EF4-FFF2-40B4-BE49-F238E27FC236}">
              <a16:creationId xmlns:a16="http://schemas.microsoft.com/office/drawing/2014/main" id="{00000000-0008-0000-0100-0000AB000000}"/>
            </a:ext>
          </a:extLst>
        </xdr:cNvPr>
        <xdr:cNvPicPr/>
      </xdr:nvPicPr>
      <xdr:blipFill>
        <a:blip xmlns:r="http://schemas.openxmlformats.org/officeDocument/2006/relationships" r:embed="rId170"/>
        <a:stretch/>
      </xdr:blipFill>
      <xdr:spPr>
        <a:xfrm>
          <a:off x="6883560" y="74468160"/>
          <a:ext cx="418320" cy="418320"/>
        </a:xfrm>
        <a:prstGeom prst="rect">
          <a:avLst/>
        </a:prstGeom>
        <a:ln w="0">
          <a:noFill/>
        </a:ln>
      </xdr:spPr>
    </xdr:pic>
    <xdr:clientData/>
  </xdr:twoCellAnchor>
  <xdr:twoCellAnchor editAs="oneCell">
    <xdr:from>
      <xdr:col>7</xdr:col>
      <xdr:colOff>0</xdr:colOff>
      <xdr:row>171</xdr:row>
      <xdr:rowOff>325800</xdr:rowOff>
    </xdr:from>
    <xdr:to>
      <xdr:col>7</xdr:col>
      <xdr:colOff>418320</xdr:colOff>
      <xdr:row>182</xdr:row>
      <xdr:rowOff>418350</xdr:rowOff>
    </xdr:to>
    <xdr:pic>
      <xdr:nvPicPr>
        <xdr:cNvPr id="172" name="Image 171" descr="Picture">
          <a:extLst>
            <a:ext uri="{FF2B5EF4-FFF2-40B4-BE49-F238E27FC236}">
              <a16:creationId xmlns:a16="http://schemas.microsoft.com/office/drawing/2014/main" id="{00000000-0008-0000-0100-0000AC000000}"/>
            </a:ext>
          </a:extLst>
        </xdr:cNvPr>
        <xdr:cNvPicPr/>
      </xdr:nvPicPr>
      <xdr:blipFill>
        <a:blip xmlns:r="http://schemas.openxmlformats.org/officeDocument/2006/relationships" r:embed="rId171"/>
        <a:stretch/>
      </xdr:blipFill>
      <xdr:spPr>
        <a:xfrm>
          <a:off x="6883560" y="74906640"/>
          <a:ext cx="418320" cy="418320"/>
        </a:xfrm>
        <a:prstGeom prst="rect">
          <a:avLst/>
        </a:prstGeom>
        <a:ln w="0">
          <a:noFill/>
        </a:ln>
      </xdr:spPr>
    </xdr:pic>
    <xdr:clientData/>
  </xdr:twoCellAnchor>
  <xdr:twoCellAnchor editAs="oneCell">
    <xdr:from>
      <xdr:col>7</xdr:col>
      <xdr:colOff>0</xdr:colOff>
      <xdr:row>172</xdr:row>
      <xdr:rowOff>325800</xdr:rowOff>
    </xdr:from>
    <xdr:to>
      <xdr:col>7</xdr:col>
      <xdr:colOff>418320</xdr:colOff>
      <xdr:row>182</xdr:row>
      <xdr:rowOff>418350</xdr:rowOff>
    </xdr:to>
    <xdr:pic>
      <xdr:nvPicPr>
        <xdr:cNvPr id="173" name="Image 172" descr="Picture">
          <a:extLst>
            <a:ext uri="{FF2B5EF4-FFF2-40B4-BE49-F238E27FC236}">
              <a16:creationId xmlns:a16="http://schemas.microsoft.com/office/drawing/2014/main" id="{00000000-0008-0000-0100-0000AD000000}"/>
            </a:ext>
          </a:extLst>
        </xdr:cNvPr>
        <xdr:cNvPicPr/>
      </xdr:nvPicPr>
      <xdr:blipFill>
        <a:blip xmlns:r="http://schemas.openxmlformats.org/officeDocument/2006/relationships" r:embed="rId172"/>
        <a:stretch/>
      </xdr:blipFill>
      <xdr:spPr>
        <a:xfrm>
          <a:off x="6883560" y="75344760"/>
          <a:ext cx="418320" cy="418320"/>
        </a:xfrm>
        <a:prstGeom prst="rect">
          <a:avLst/>
        </a:prstGeom>
        <a:ln w="0">
          <a:noFill/>
        </a:ln>
      </xdr:spPr>
    </xdr:pic>
    <xdr:clientData/>
  </xdr:twoCellAnchor>
  <xdr:twoCellAnchor editAs="oneCell">
    <xdr:from>
      <xdr:col>7</xdr:col>
      <xdr:colOff>0</xdr:colOff>
      <xdr:row>173</xdr:row>
      <xdr:rowOff>325800</xdr:rowOff>
    </xdr:from>
    <xdr:to>
      <xdr:col>7</xdr:col>
      <xdr:colOff>418320</xdr:colOff>
      <xdr:row>182</xdr:row>
      <xdr:rowOff>418350</xdr:rowOff>
    </xdr:to>
    <xdr:pic>
      <xdr:nvPicPr>
        <xdr:cNvPr id="174" name="Image 173" descr="Picture">
          <a:extLst>
            <a:ext uri="{FF2B5EF4-FFF2-40B4-BE49-F238E27FC236}">
              <a16:creationId xmlns:a16="http://schemas.microsoft.com/office/drawing/2014/main" id="{00000000-0008-0000-0100-0000AE000000}"/>
            </a:ext>
          </a:extLst>
        </xdr:cNvPr>
        <xdr:cNvPicPr/>
      </xdr:nvPicPr>
      <xdr:blipFill>
        <a:blip xmlns:r="http://schemas.openxmlformats.org/officeDocument/2006/relationships" r:embed="rId173"/>
        <a:stretch/>
      </xdr:blipFill>
      <xdr:spPr>
        <a:xfrm>
          <a:off x="6883560" y="75782880"/>
          <a:ext cx="418320" cy="418320"/>
        </a:xfrm>
        <a:prstGeom prst="rect">
          <a:avLst/>
        </a:prstGeom>
        <a:ln w="0">
          <a:noFill/>
        </a:ln>
      </xdr:spPr>
    </xdr:pic>
    <xdr:clientData/>
  </xdr:twoCellAnchor>
  <xdr:twoCellAnchor editAs="oneCell">
    <xdr:from>
      <xdr:col>7</xdr:col>
      <xdr:colOff>0</xdr:colOff>
      <xdr:row>174</xdr:row>
      <xdr:rowOff>325800</xdr:rowOff>
    </xdr:from>
    <xdr:to>
      <xdr:col>7</xdr:col>
      <xdr:colOff>418320</xdr:colOff>
      <xdr:row>182</xdr:row>
      <xdr:rowOff>418350</xdr:rowOff>
    </xdr:to>
    <xdr:pic>
      <xdr:nvPicPr>
        <xdr:cNvPr id="175" name="Image 174" descr="Picture">
          <a:extLst>
            <a:ext uri="{FF2B5EF4-FFF2-40B4-BE49-F238E27FC236}">
              <a16:creationId xmlns:a16="http://schemas.microsoft.com/office/drawing/2014/main" id="{00000000-0008-0000-0100-0000AF000000}"/>
            </a:ext>
          </a:extLst>
        </xdr:cNvPr>
        <xdr:cNvPicPr/>
      </xdr:nvPicPr>
      <xdr:blipFill>
        <a:blip xmlns:r="http://schemas.openxmlformats.org/officeDocument/2006/relationships" r:embed="rId174"/>
        <a:stretch/>
      </xdr:blipFill>
      <xdr:spPr>
        <a:xfrm>
          <a:off x="6883560" y="76221000"/>
          <a:ext cx="418320" cy="418320"/>
        </a:xfrm>
        <a:prstGeom prst="rect">
          <a:avLst/>
        </a:prstGeom>
        <a:ln w="0">
          <a:noFill/>
        </a:ln>
      </xdr:spPr>
    </xdr:pic>
    <xdr:clientData/>
  </xdr:twoCellAnchor>
  <xdr:twoCellAnchor editAs="oneCell">
    <xdr:from>
      <xdr:col>7</xdr:col>
      <xdr:colOff>0</xdr:colOff>
      <xdr:row>175</xdr:row>
      <xdr:rowOff>325800</xdr:rowOff>
    </xdr:from>
    <xdr:to>
      <xdr:col>7</xdr:col>
      <xdr:colOff>418320</xdr:colOff>
      <xdr:row>182</xdr:row>
      <xdr:rowOff>418350</xdr:rowOff>
    </xdr:to>
    <xdr:pic>
      <xdr:nvPicPr>
        <xdr:cNvPr id="176" name="Image 175" descr="Picture">
          <a:extLst>
            <a:ext uri="{FF2B5EF4-FFF2-40B4-BE49-F238E27FC236}">
              <a16:creationId xmlns:a16="http://schemas.microsoft.com/office/drawing/2014/main" id="{00000000-0008-0000-0100-0000B0000000}"/>
            </a:ext>
          </a:extLst>
        </xdr:cNvPr>
        <xdr:cNvPicPr/>
      </xdr:nvPicPr>
      <xdr:blipFill>
        <a:blip xmlns:r="http://schemas.openxmlformats.org/officeDocument/2006/relationships" r:embed="rId175"/>
        <a:stretch/>
      </xdr:blipFill>
      <xdr:spPr>
        <a:xfrm>
          <a:off x="6883560" y="76659120"/>
          <a:ext cx="418320" cy="418320"/>
        </a:xfrm>
        <a:prstGeom prst="rect">
          <a:avLst/>
        </a:prstGeom>
        <a:ln w="0">
          <a:noFill/>
        </a:ln>
      </xdr:spPr>
    </xdr:pic>
    <xdr:clientData/>
  </xdr:twoCellAnchor>
  <xdr:twoCellAnchor editAs="oneCell">
    <xdr:from>
      <xdr:col>7</xdr:col>
      <xdr:colOff>0</xdr:colOff>
      <xdr:row>176</xdr:row>
      <xdr:rowOff>325800</xdr:rowOff>
    </xdr:from>
    <xdr:to>
      <xdr:col>7</xdr:col>
      <xdr:colOff>418320</xdr:colOff>
      <xdr:row>182</xdr:row>
      <xdr:rowOff>418350</xdr:rowOff>
    </xdr:to>
    <xdr:pic>
      <xdr:nvPicPr>
        <xdr:cNvPr id="177" name="Image 176" descr="Picture">
          <a:extLst>
            <a:ext uri="{FF2B5EF4-FFF2-40B4-BE49-F238E27FC236}">
              <a16:creationId xmlns:a16="http://schemas.microsoft.com/office/drawing/2014/main" id="{00000000-0008-0000-0100-0000B1000000}"/>
            </a:ext>
          </a:extLst>
        </xdr:cNvPr>
        <xdr:cNvPicPr/>
      </xdr:nvPicPr>
      <xdr:blipFill>
        <a:blip xmlns:r="http://schemas.openxmlformats.org/officeDocument/2006/relationships" r:embed="rId176"/>
        <a:stretch/>
      </xdr:blipFill>
      <xdr:spPr>
        <a:xfrm>
          <a:off x="6883560" y="77097240"/>
          <a:ext cx="418320" cy="418320"/>
        </a:xfrm>
        <a:prstGeom prst="rect">
          <a:avLst/>
        </a:prstGeom>
        <a:ln w="0">
          <a:noFill/>
        </a:ln>
      </xdr:spPr>
    </xdr:pic>
    <xdr:clientData/>
  </xdr:twoCellAnchor>
  <xdr:twoCellAnchor editAs="oneCell">
    <xdr:from>
      <xdr:col>7</xdr:col>
      <xdr:colOff>0</xdr:colOff>
      <xdr:row>177</xdr:row>
      <xdr:rowOff>325800</xdr:rowOff>
    </xdr:from>
    <xdr:to>
      <xdr:col>7</xdr:col>
      <xdr:colOff>418320</xdr:colOff>
      <xdr:row>182</xdr:row>
      <xdr:rowOff>418350</xdr:rowOff>
    </xdr:to>
    <xdr:pic>
      <xdr:nvPicPr>
        <xdr:cNvPr id="178" name="Image 177" descr="Picture">
          <a:extLst>
            <a:ext uri="{FF2B5EF4-FFF2-40B4-BE49-F238E27FC236}">
              <a16:creationId xmlns:a16="http://schemas.microsoft.com/office/drawing/2014/main" id="{00000000-0008-0000-0100-0000B2000000}"/>
            </a:ext>
          </a:extLst>
        </xdr:cNvPr>
        <xdr:cNvPicPr/>
      </xdr:nvPicPr>
      <xdr:blipFill>
        <a:blip xmlns:r="http://schemas.openxmlformats.org/officeDocument/2006/relationships" r:embed="rId177"/>
        <a:stretch/>
      </xdr:blipFill>
      <xdr:spPr>
        <a:xfrm>
          <a:off x="6883560" y="77535360"/>
          <a:ext cx="418320" cy="418320"/>
        </a:xfrm>
        <a:prstGeom prst="rect">
          <a:avLst/>
        </a:prstGeom>
        <a:ln w="0">
          <a:noFill/>
        </a:ln>
      </xdr:spPr>
    </xdr:pic>
    <xdr:clientData/>
  </xdr:twoCellAnchor>
  <xdr:twoCellAnchor editAs="oneCell">
    <xdr:from>
      <xdr:col>7</xdr:col>
      <xdr:colOff>0</xdr:colOff>
      <xdr:row>178</xdr:row>
      <xdr:rowOff>325800</xdr:rowOff>
    </xdr:from>
    <xdr:to>
      <xdr:col>7</xdr:col>
      <xdr:colOff>418320</xdr:colOff>
      <xdr:row>182</xdr:row>
      <xdr:rowOff>418350</xdr:rowOff>
    </xdr:to>
    <xdr:pic>
      <xdr:nvPicPr>
        <xdr:cNvPr id="179" name="Image 178" descr="Picture">
          <a:extLst>
            <a:ext uri="{FF2B5EF4-FFF2-40B4-BE49-F238E27FC236}">
              <a16:creationId xmlns:a16="http://schemas.microsoft.com/office/drawing/2014/main" id="{00000000-0008-0000-0100-0000B3000000}"/>
            </a:ext>
          </a:extLst>
        </xdr:cNvPr>
        <xdr:cNvPicPr/>
      </xdr:nvPicPr>
      <xdr:blipFill>
        <a:blip xmlns:r="http://schemas.openxmlformats.org/officeDocument/2006/relationships" r:embed="rId178"/>
        <a:stretch/>
      </xdr:blipFill>
      <xdr:spPr>
        <a:xfrm>
          <a:off x="6883560" y="77973480"/>
          <a:ext cx="418320" cy="418320"/>
        </a:xfrm>
        <a:prstGeom prst="rect">
          <a:avLst/>
        </a:prstGeom>
        <a:ln w="0">
          <a:noFill/>
        </a:ln>
      </xdr:spPr>
    </xdr:pic>
    <xdr:clientData/>
  </xdr:twoCellAnchor>
  <xdr:twoCellAnchor editAs="oneCell">
    <xdr:from>
      <xdr:col>7</xdr:col>
      <xdr:colOff>0</xdr:colOff>
      <xdr:row>179</xdr:row>
      <xdr:rowOff>325800</xdr:rowOff>
    </xdr:from>
    <xdr:to>
      <xdr:col>7</xdr:col>
      <xdr:colOff>418320</xdr:colOff>
      <xdr:row>182</xdr:row>
      <xdr:rowOff>418350</xdr:rowOff>
    </xdr:to>
    <xdr:pic>
      <xdr:nvPicPr>
        <xdr:cNvPr id="180" name="Image 179" descr="Picture">
          <a:extLst>
            <a:ext uri="{FF2B5EF4-FFF2-40B4-BE49-F238E27FC236}">
              <a16:creationId xmlns:a16="http://schemas.microsoft.com/office/drawing/2014/main" id="{00000000-0008-0000-0100-0000B4000000}"/>
            </a:ext>
          </a:extLst>
        </xdr:cNvPr>
        <xdr:cNvPicPr/>
      </xdr:nvPicPr>
      <xdr:blipFill>
        <a:blip xmlns:r="http://schemas.openxmlformats.org/officeDocument/2006/relationships" r:embed="rId179"/>
        <a:stretch/>
      </xdr:blipFill>
      <xdr:spPr>
        <a:xfrm>
          <a:off x="6883560" y="78411600"/>
          <a:ext cx="418320" cy="418680"/>
        </a:xfrm>
        <a:prstGeom prst="rect">
          <a:avLst/>
        </a:prstGeom>
        <a:ln w="0">
          <a:noFill/>
        </a:ln>
      </xdr:spPr>
    </xdr:pic>
    <xdr:clientData/>
  </xdr:twoCellAnchor>
  <xdr:twoCellAnchor editAs="oneCell">
    <xdr:from>
      <xdr:col>7</xdr:col>
      <xdr:colOff>0</xdr:colOff>
      <xdr:row>180</xdr:row>
      <xdr:rowOff>325800</xdr:rowOff>
    </xdr:from>
    <xdr:to>
      <xdr:col>7</xdr:col>
      <xdr:colOff>418320</xdr:colOff>
      <xdr:row>182</xdr:row>
      <xdr:rowOff>418350</xdr:rowOff>
    </xdr:to>
    <xdr:pic>
      <xdr:nvPicPr>
        <xdr:cNvPr id="181" name="Image 180" descr="Picture">
          <a:extLst>
            <a:ext uri="{FF2B5EF4-FFF2-40B4-BE49-F238E27FC236}">
              <a16:creationId xmlns:a16="http://schemas.microsoft.com/office/drawing/2014/main" id="{00000000-0008-0000-0100-0000B5000000}"/>
            </a:ext>
          </a:extLst>
        </xdr:cNvPr>
        <xdr:cNvPicPr/>
      </xdr:nvPicPr>
      <xdr:blipFill>
        <a:blip xmlns:r="http://schemas.openxmlformats.org/officeDocument/2006/relationships" r:embed="rId180"/>
        <a:stretch/>
      </xdr:blipFill>
      <xdr:spPr>
        <a:xfrm>
          <a:off x="6883560" y="78850080"/>
          <a:ext cx="418320" cy="418320"/>
        </a:xfrm>
        <a:prstGeom prst="rect">
          <a:avLst/>
        </a:prstGeom>
        <a:ln w="0">
          <a:noFill/>
        </a:ln>
      </xdr:spPr>
    </xdr:pic>
    <xdr:clientData/>
  </xdr:twoCellAnchor>
  <xdr:twoCellAnchor editAs="oneCell">
    <xdr:from>
      <xdr:col>7</xdr:col>
      <xdr:colOff>0</xdr:colOff>
      <xdr:row>181</xdr:row>
      <xdr:rowOff>325800</xdr:rowOff>
    </xdr:from>
    <xdr:to>
      <xdr:col>7</xdr:col>
      <xdr:colOff>418320</xdr:colOff>
      <xdr:row>182</xdr:row>
      <xdr:rowOff>417990</xdr:rowOff>
    </xdr:to>
    <xdr:pic>
      <xdr:nvPicPr>
        <xdr:cNvPr id="182" name="Image 181" descr="Picture">
          <a:extLst>
            <a:ext uri="{FF2B5EF4-FFF2-40B4-BE49-F238E27FC236}">
              <a16:creationId xmlns:a16="http://schemas.microsoft.com/office/drawing/2014/main" id="{00000000-0008-0000-0100-0000B6000000}"/>
            </a:ext>
          </a:extLst>
        </xdr:cNvPr>
        <xdr:cNvPicPr/>
      </xdr:nvPicPr>
      <xdr:blipFill>
        <a:blip xmlns:r="http://schemas.openxmlformats.org/officeDocument/2006/relationships" r:embed="rId181"/>
        <a:stretch/>
      </xdr:blipFill>
      <xdr:spPr>
        <a:xfrm>
          <a:off x="6883560" y="79288200"/>
          <a:ext cx="418320" cy="417960"/>
        </a:xfrm>
        <a:prstGeom prst="rect">
          <a:avLst/>
        </a:prstGeom>
        <a:ln w="0">
          <a:noFill/>
        </a:ln>
      </xdr:spPr>
    </xdr:pic>
    <xdr:clientData/>
  </xdr:twoCellAnchor>
  <xdr:twoCellAnchor editAs="oneCell">
    <xdr:from>
      <xdr:col>7</xdr:col>
      <xdr:colOff>0</xdr:colOff>
      <xdr:row>182</xdr:row>
      <xdr:rowOff>325440</xdr:rowOff>
    </xdr:from>
    <xdr:to>
      <xdr:col>7</xdr:col>
      <xdr:colOff>418320</xdr:colOff>
      <xdr:row>183</xdr:row>
      <xdr:rowOff>305640</xdr:rowOff>
    </xdr:to>
    <xdr:pic>
      <xdr:nvPicPr>
        <xdr:cNvPr id="183" name="Image 182" descr="Picture">
          <a:extLst>
            <a:ext uri="{FF2B5EF4-FFF2-40B4-BE49-F238E27FC236}">
              <a16:creationId xmlns:a16="http://schemas.microsoft.com/office/drawing/2014/main" id="{00000000-0008-0000-0100-0000B7000000}"/>
            </a:ext>
          </a:extLst>
        </xdr:cNvPr>
        <xdr:cNvPicPr/>
      </xdr:nvPicPr>
      <xdr:blipFill>
        <a:blip xmlns:r="http://schemas.openxmlformats.org/officeDocument/2006/relationships" r:embed="rId182"/>
        <a:stretch/>
      </xdr:blipFill>
      <xdr:spPr>
        <a:xfrm>
          <a:off x="6883560" y="79725960"/>
          <a:ext cx="418320" cy="418320"/>
        </a:xfrm>
        <a:prstGeom prst="rect">
          <a:avLst/>
        </a:prstGeom>
        <a:ln w="0">
          <a:noFill/>
        </a:ln>
      </xdr:spPr>
    </xdr:pic>
    <xdr:clientData/>
  </xdr:twoCellAnchor>
  <xdr:twoCellAnchor editAs="oneCell">
    <xdr:from>
      <xdr:col>7</xdr:col>
      <xdr:colOff>0</xdr:colOff>
      <xdr:row>183</xdr:row>
      <xdr:rowOff>325800</xdr:rowOff>
    </xdr:from>
    <xdr:to>
      <xdr:col>7</xdr:col>
      <xdr:colOff>418320</xdr:colOff>
      <xdr:row>184</xdr:row>
      <xdr:rowOff>306000</xdr:rowOff>
    </xdr:to>
    <xdr:pic>
      <xdr:nvPicPr>
        <xdr:cNvPr id="184" name="Image 183" descr="Picture">
          <a:extLst>
            <a:ext uri="{FF2B5EF4-FFF2-40B4-BE49-F238E27FC236}">
              <a16:creationId xmlns:a16="http://schemas.microsoft.com/office/drawing/2014/main" id="{00000000-0008-0000-0100-0000B8000000}"/>
            </a:ext>
          </a:extLst>
        </xdr:cNvPr>
        <xdr:cNvPicPr/>
      </xdr:nvPicPr>
      <xdr:blipFill>
        <a:blip xmlns:r="http://schemas.openxmlformats.org/officeDocument/2006/relationships" r:embed="rId183"/>
        <a:stretch/>
      </xdr:blipFill>
      <xdr:spPr>
        <a:xfrm>
          <a:off x="6883560" y="80164440"/>
          <a:ext cx="418320" cy="418320"/>
        </a:xfrm>
        <a:prstGeom prst="rect">
          <a:avLst/>
        </a:prstGeom>
        <a:ln w="0">
          <a:noFill/>
        </a:ln>
      </xdr:spPr>
    </xdr:pic>
    <xdr:clientData/>
  </xdr:twoCellAnchor>
  <xdr:twoCellAnchor editAs="oneCell">
    <xdr:from>
      <xdr:col>7</xdr:col>
      <xdr:colOff>0</xdr:colOff>
      <xdr:row>184</xdr:row>
      <xdr:rowOff>325800</xdr:rowOff>
    </xdr:from>
    <xdr:to>
      <xdr:col>7</xdr:col>
      <xdr:colOff>418320</xdr:colOff>
      <xdr:row>186</xdr:row>
      <xdr:rowOff>306000</xdr:rowOff>
    </xdr:to>
    <xdr:pic>
      <xdr:nvPicPr>
        <xdr:cNvPr id="185" name="Image 184" descr="Picture">
          <a:extLst>
            <a:ext uri="{FF2B5EF4-FFF2-40B4-BE49-F238E27FC236}">
              <a16:creationId xmlns:a16="http://schemas.microsoft.com/office/drawing/2014/main" id="{00000000-0008-0000-0100-0000B9000000}"/>
            </a:ext>
          </a:extLst>
        </xdr:cNvPr>
        <xdr:cNvPicPr/>
      </xdr:nvPicPr>
      <xdr:blipFill>
        <a:blip xmlns:r="http://schemas.openxmlformats.org/officeDocument/2006/relationships" r:embed="rId184"/>
        <a:stretch/>
      </xdr:blipFill>
      <xdr:spPr>
        <a:xfrm>
          <a:off x="6883560" y="80602560"/>
          <a:ext cx="418320" cy="418320"/>
        </a:xfrm>
        <a:prstGeom prst="rect">
          <a:avLst/>
        </a:prstGeom>
        <a:ln w="0">
          <a:noFill/>
        </a:ln>
      </xdr:spPr>
    </xdr:pic>
    <xdr:clientData/>
  </xdr:twoCellAnchor>
  <xdr:twoCellAnchor editAs="oneCell">
    <xdr:from>
      <xdr:col>7</xdr:col>
      <xdr:colOff>0</xdr:colOff>
      <xdr:row>185</xdr:row>
      <xdr:rowOff>325800</xdr:rowOff>
    </xdr:from>
    <xdr:to>
      <xdr:col>7</xdr:col>
      <xdr:colOff>418320</xdr:colOff>
      <xdr:row>186</xdr:row>
      <xdr:rowOff>418350</xdr:rowOff>
    </xdr:to>
    <xdr:pic>
      <xdr:nvPicPr>
        <xdr:cNvPr id="186" name="Image 185" descr="Picture">
          <a:extLst>
            <a:ext uri="{FF2B5EF4-FFF2-40B4-BE49-F238E27FC236}">
              <a16:creationId xmlns:a16="http://schemas.microsoft.com/office/drawing/2014/main" id="{00000000-0008-0000-0100-0000BA000000}"/>
            </a:ext>
          </a:extLst>
        </xdr:cNvPr>
        <xdr:cNvPicPr/>
      </xdr:nvPicPr>
      <xdr:blipFill>
        <a:blip xmlns:r="http://schemas.openxmlformats.org/officeDocument/2006/relationships" r:embed="rId185"/>
        <a:stretch/>
      </xdr:blipFill>
      <xdr:spPr>
        <a:xfrm>
          <a:off x="6883560" y="81040680"/>
          <a:ext cx="418320" cy="418320"/>
        </a:xfrm>
        <a:prstGeom prst="rect">
          <a:avLst/>
        </a:prstGeom>
        <a:ln w="0">
          <a:noFill/>
        </a:ln>
      </xdr:spPr>
    </xdr:pic>
    <xdr:clientData/>
  </xdr:twoCellAnchor>
  <xdr:twoCellAnchor editAs="oneCell">
    <xdr:from>
      <xdr:col>7</xdr:col>
      <xdr:colOff>0</xdr:colOff>
      <xdr:row>186</xdr:row>
      <xdr:rowOff>325800</xdr:rowOff>
    </xdr:from>
    <xdr:to>
      <xdr:col>7</xdr:col>
      <xdr:colOff>418320</xdr:colOff>
      <xdr:row>187</xdr:row>
      <xdr:rowOff>306000</xdr:rowOff>
    </xdr:to>
    <xdr:pic>
      <xdr:nvPicPr>
        <xdr:cNvPr id="187" name="Image 186" descr="Picture">
          <a:extLst>
            <a:ext uri="{FF2B5EF4-FFF2-40B4-BE49-F238E27FC236}">
              <a16:creationId xmlns:a16="http://schemas.microsoft.com/office/drawing/2014/main" id="{00000000-0008-0000-0100-0000BB000000}"/>
            </a:ext>
          </a:extLst>
        </xdr:cNvPr>
        <xdr:cNvPicPr/>
      </xdr:nvPicPr>
      <xdr:blipFill>
        <a:blip xmlns:r="http://schemas.openxmlformats.org/officeDocument/2006/relationships" r:embed="rId186"/>
        <a:stretch/>
      </xdr:blipFill>
      <xdr:spPr>
        <a:xfrm>
          <a:off x="6883560" y="81478800"/>
          <a:ext cx="418320" cy="418320"/>
        </a:xfrm>
        <a:prstGeom prst="rect">
          <a:avLst/>
        </a:prstGeom>
        <a:ln w="0">
          <a:noFill/>
        </a:ln>
      </xdr:spPr>
    </xdr:pic>
    <xdr:clientData/>
  </xdr:twoCellAnchor>
  <xdr:twoCellAnchor editAs="oneCell">
    <xdr:from>
      <xdr:col>7</xdr:col>
      <xdr:colOff>0</xdr:colOff>
      <xdr:row>187</xdr:row>
      <xdr:rowOff>325800</xdr:rowOff>
    </xdr:from>
    <xdr:to>
      <xdr:col>7</xdr:col>
      <xdr:colOff>418320</xdr:colOff>
      <xdr:row>188</xdr:row>
      <xdr:rowOff>306000</xdr:rowOff>
    </xdr:to>
    <xdr:pic>
      <xdr:nvPicPr>
        <xdr:cNvPr id="188" name="Image 187" descr="Picture">
          <a:extLst>
            <a:ext uri="{FF2B5EF4-FFF2-40B4-BE49-F238E27FC236}">
              <a16:creationId xmlns:a16="http://schemas.microsoft.com/office/drawing/2014/main" id="{00000000-0008-0000-0100-0000BC000000}"/>
            </a:ext>
          </a:extLst>
        </xdr:cNvPr>
        <xdr:cNvPicPr/>
      </xdr:nvPicPr>
      <xdr:blipFill>
        <a:blip xmlns:r="http://schemas.openxmlformats.org/officeDocument/2006/relationships" r:embed="rId187"/>
        <a:stretch/>
      </xdr:blipFill>
      <xdr:spPr>
        <a:xfrm>
          <a:off x="6883560" y="81916920"/>
          <a:ext cx="418320" cy="418320"/>
        </a:xfrm>
        <a:prstGeom prst="rect">
          <a:avLst/>
        </a:prstGeom>
        <a:ln w="0">
          <a:noFill/>
        </a:ln>
      </xdr:spPr>
    </xdr:pic>
    <xdr:clientData/>
  </xdr:twoCellAnchor>
  <xdr:twoCellAnchor editAs="oneCell">
    <xdr:from>
      <xdr:col>7</xdr:col>
      <xdr:colOff>0</xdr:colOff>
      <xdr:row>188</xdr:row>
      <xdr:rowOff>325800</xdr:rowOff>
    </xdr:from>
    <xdr:to>
      <xdr:col>7</xdr:col>
      <xdr:colOff>418320</xdr:colOff>
      <xdr:row>190</xdr:row>
      <xdr:rowOff>306000</xdr:rowOff>
    </xdr:to>
    <xdr:pic>
      <xdr:nvPicPr>
        <xdr:cNvPr id="189" name="Image 188" descr="Picture">
          <a:extLst>
            <a:ext uri="{FF2B5EF4-FFF2-40B4-BE49-F238E27FC236}">
              <a16:creationId xmlns:a16="http://schemas.microsoft.com/office/drawing/2014/main" id="{00000000-0008-0000-0100-0000BD000000}"/>
            </a:ext>
          </a:extLst>
        </xdr:cNvPr>
        <xdr:cNvPicPr/>
      </xdr:nvPicPr>
      <xdr:blipFill>
        <a:blip xmlns:r="http://schemas.openxmlformats.org/officeDocument/2006/relationships" r:embed="rId188"/>
        <a:stretch/>
      </xdr:blipFill>
      <xdr:spPr>
        <a:xfrm>
          <a:off x="6883560" y="82355040"/>
          <a:ext cx="418320" cy="418320"/>
        </a:xfrm>
        <a:prstGeom prst="rect">
          <a:avLst/>
        </a:prstGeom>
        <a:ln w="0">
          <a:noFill/>
        </a:ln>
      </xdr:spPr>
    </xdr:pic>
    <xdr:clientData/>
  </xdr:twoCellAnchor>
  <xdr:twoCellAnchor editAs="oneCell">
    <xdr:from>
      <xdr:col>7</xdr:col>
      <xdr:colOff>0</xdr:colOff>
      <xdr:row>189</xdr:row>
      <xdr:rowOff>325800</xdr:rowOff>
    </xdr:from>
    <xdr:to>
      <xdr:col>7</xdr:col>
      <xdr:colOff>418320</xdr:colOff>
      <xdr:row>190</xdr:row>
      <xdr:rowOff>418350</xdr:rowOff>
    </xdr:to>
    <xdr:pic>
      <xdr:nvPicPr>
        <xdr:cNvPr id="190" name="Image 189" descr="Picture">
          <a:extLst>
            <a:ext uri="{FF2B5EF4-FFF2-40B4-BE49-F238E27FC236}">
              <a16:creationId xmlns:a16="http://schemas.microsoft.com/office/drawing/2014/main" id="{00000000-0008-0000-0100-0000BE000000}"/>
            </a:ext>
          </a:extLst>
        </xdr:cNvPr>
        <xdr:cNvPicPr/>
      </xdr:nvPicPr>
      <xdr:blipFill>
        <a:blip xmlns:r="http://schemas.openxmlformats.org/officeDocument/2006/relationships" r:embed="rId189"/>
        <a:stretch/>
      </xdr:blipFill>
      <xdr:spPr>
        <a:xfrm>
          <a:off x="6883560" y="82793160"/>
          <a:ext cx="418320" cy="418320"/>
        </a:xfrm>
        <a:prstGeom prst="rect">
          <a:avLst/>
        </a:prstGeom>
        <a:ln w="0">
          <a:noFill/>
        </a:ln>
      </xdr:spPr>
    </xdr:pic>
    <xdr:clientData/>
  </xdr:twoCellAnchor>
  <xdr:twoCellAnchor editAs="oneCell">
    <xdr:from>
      <xdr:col>7</xdr:col>
      <xdr:colOff>0</xdr:colOff>
      <xdr:row>191</xdr:row>
      <xdr:rowOff>87840</xdr:rowOff>
    </xdr:from>
    <xdr:to>
      <xdr:col>7</xdr:col>
      <xdr:colOff>418320</xdr:colOff>
      <xdr:row>192</xdr:row>
      <xdr:rowOff>306000</xdr:rowOff>
    </xdr:to>
    <xdr:pic>
      <xdr:nvPicPr>
        <xdr:cNvPr id="191" name="Image 190" descr="Picture">
          <a:extLst>
            <a:ext uri="{FF2B5EF4-FFF2-40B4-BE49-F238E27FC236}">
              <a16:creationId xmlns:a16="http://schemas.microsoft.com/office/drawing/2014/main" id="{00000000-0008-0000-0100-0000BF000000}"/>
            </a:ext>
          </a:extLst>
        </xdr:cNvPr>
        <xdr:cNvPicPr/>
      </xdr:nvPicPr>
      <xdr:blipFill>
        <a:blip xmlns:r="http://schemas.openxmlformats.org/officeDocument/2006/relationships" r:embed="rId190"/>
        <a:stretch/>
      </xdr:blipFill>
      <xdr:spPr>
        <a:xfrm>
          <a:off x="6883560" y="83431440"/>
          <a:ext cx="418320" cy="418320"/>
        </a:xfrm>
        <a:prstGeom prst="rect">
          <a:avLst/>
        </a:prstGeom>
        <a:ln w="0">
          <a:noFill/>
        </a:ln>
      </xdr:spPr>
    </xdr:pic>
    <xdr:clientData/>
  </xdr:twoCellAnchor>
  <xdr:twoCellAnchor editAs="oneCell">
    <xdr:from>
      <xdr:col>7</xdr:col>
      <xdr:colOff>0</xdr:colOff>
      <xdr:row>192</xdr:row>
      <xdr:rowOff>325800</xdr:rowOff>
    </xdr:from>
    <xdr:to>
      <xdr:col>7</xdr:col>
      <xdr:colOff>418320</xdr:colOff>
      <xdr:row>193</xdr:row>
      <xdr:rowOff>306000</xdr:rowOff>
    </xdr:to>
    <xdr:pic>
      <xdr:nvPicPr>
        <xdr:cNvPr id="192" name="Image 191" descr="Picture">
          <a:extLst>
            <a:ext uri="{FF2B5EF4-FFF2-40B4-BE49-F238E27FC236}">
              <a16:creationId xmlns:a16="http://schemas.microsoft.com/office/drawing/2014/main" id="{00000000-0008-0000-0100-0000C0000000}"/>
            </a:ext>
          </a:extLst>
        </xdr:cNvPr>
        <xdr:cNvPicPr/>
      </xdr:nvPicPr>
      <xdr:blipFill>
        <a:blip xmlns:r="http://schemas.openxmlformats.org/officeDocument/2006/relationships" r:embed="rId191"/>
        <a:stretch/>
      </xdr:blipFill>
      <xdr:spPr>
        <a:xfrm>
          <a:off x="6883560" y="83869560"/>
          <a:ext cx="418320" cy="418320"/>
        </a:xfrm>
        <a:prstGeom prst="rect">
          <a:avLst/>
        </a:prstGeom>
        <a:ln w="0">
          <a:noFill/>
        </a:ln>
      </xdr:spPr>
    </xdr:pic>
    <xdr:clientData/>
  </xdr:twoCellAnchor>
  <xdr:twoCellAnchor editAs="oneCell">
    <xdr:from>
      <xdr:col>7</xdr:col>
      <xdr:colOff>0</xdr:colOff>
      <xdr:row>193</xdr:row>
      <xdr:rowOff>325800</xdr:rowOff>
    </xdr:from>
    <xdr:to>
      <xdr:col>7</xdr:col>
      <xdr:colOff>418320</xdr:colOff>
      <xdr:row>194</xdr:row>
      <xdr:rowOff>306000</xdr:rowOff>
    </xdr:to>
    <xdr:pic>
      <xdr:nvPicPr>
        <xdr:cNvPr id="193" name="Image 192" descr="Picture">
          <a:extLst>
            <a:ext uri="{FF2B5EF4-FFF2-40B4-BE49-F238E27FC236}">
              <a16:creationId xmlns:a16="http://schemas.microsoft.com/office/drawing/2014/main" id="{00000000-0008-0000-0100-0000C1000000}"/>
            </a:ext>
          </a:extLst>
        </xdr:cNvPr>
        <xdr:cNvPicPr/>
      </xdr:nvPicPr>
      <xdr:blipFill>
        <a:blip xmlns:r="http://schemas.openxmlformats.org/officeDocument/2006/relationships" r:embed="rId192"/>
        <a:stretch/>
      </xdr:blipFill>
      <xdr:spPr>
        <a:xfrm>
          <a:off x="6883560" y="84307680"/>
          <a:ext cx="418320" cy="418320"/>
        </a:xfrm>
        <a:prstGeom prst="rect">
          <a:avLst/>
        </a:prstGeom>
        <a:ln w="0">
          <a:noFill/>
        </a:ln>
      </xdr:spPr>
    </xdr:pic>
    <xdr:clientData/>
  </xdr:twoCellAnchor>
  <xdr:twoCellAnchor editAs="oneCell">
    <xdr:from>
      <xdr:col>7</xdr:col>
      <xdr:colOff>0</xdr:colOff>
      <xdr:row>194</xdr:row>
      <xdr:rowOff>325800</xdr:rowOff>
    </xdr:from>
    <xdr:to>
      <xdr:col>7</xdr:col>
      <xdr:colOff>418320</xdr:colOff>
      <xdr:row>195</xdr:row>
      <xdr:rowOff>306000</xdr:rowOff>
    </xdr:to>
    <xdr:pic>
      <xdr:nvPicPr>
        <xdr:cNvPr id="194" name="Image 193" descr="Picture">
          <a:extLst>
            <a:ext uri="{FF2B5EF4-FFF2-40B4-BE49-F238E27FC236}">
              <a16:creationId xmlns:a16="http://schemas.microsoft.com/office/drawing/2014/main" id="{00000000-0008-0000-0100-0000C2000000}"/>
            </a:ext>
          </a:extLst>
        </xdr:cNvPr>
        <xdr:cNvPicPr/>
      </xdr:nvPicPr>
      <xdr:blipFill>
        <a:blip xmlns:r="http://schemas.openxmlformats.org/officeDocument/2006/relationships" r:embed="rId193"/>
        <a:stretch/>
      </xdr:blipFill>
      <xdr:spPr>
        <a:xfrm>
          <a:off x="6883560" y="84745800"/>
          <a:ext cx="418320" cy="418320"/>
        </a:xfrm>
        <a:prstGeom prst="rect">
          <a:avLst/>
        </a:prstGeom>
        <a:ln w="0">
          <a:noFill/>
        </a:ln>
      </xdr:spPr>
    </xdr:pic>
    <xdr:clientData/>
  </xdr:twoCellAnchor>
  <xdr:twoCellAnchor editAs="oneCell">
    <xdr:from>
      <xdr:col>7</xdr:col>
      <xdr:colOff>0</xdr:colOff>
      <xdr:row>195</xdr:row>
      <xdr:rowOff>325800</xdr:rowOff>
    </xdr:from>
    <xdr:to>
      <xdr:col>7</xdr:col>
      <xdr:colOff>418320</xdr:colOff>
      <xdr:row>196</xdr:row>
      <xdr:rowOff>306000</xdr:rowOff>
    </xdr:to>
    <xdr:pic>
      <xdr:nvPicPr>
        <xdr:cNvPr id="195" name="Image 194" descr="Picture">
          <a:extLst>
            <a:ext uri="{FF2B5EF4-FFF2-40B4-BE49-F238E27FC236}">
              <a16:creationId xmlns:a16="http://schemas.microsoft.com/office/drawing/2014/main" id="{00000000-0008-0000-0100-0000C3000000}"/>
            </a:ext>
          </a:extLst>
        </xdr:cNvPr>
        <xdr:cNvPicPr/>
      </xdr:nvPicPr>
      <xdr:blipFill>
        <a:blip xmlns:r="http://schemas.openxmlformats.org/officeDocument/2006/relationships" r:embed="rId194"/>
        <a:stretch/>
      </xdr:blipFill>
      <xdr:spPr>
        <a:xfrm>
          <a:off x="6883560" y="85183920"/>
          <a:ext cx="418320" cy="418320"/>
        </a:xfrm>
        <a:prstGeom prst="rect">
          <a:avLst/>
        </a:prstGeom>
        <a:ln w="0">
          <a:noFill/>
        </a:ln>
      </xdr:spPr>
    </xdr:pic>
    <xdr:clientData/>
  </xdr:twoCellAnchor>
  <xdr:twoCellAnchor editAs="oneCell">
    <xdr:from>
      <xdr:col>7</xdr:col>
      <xdr:colOff>0</xdr:colOff>
      <xdr:row>196</xdr:row>
      <xdr:rowOff>325800</xdr:rowOff>
    </xdr:from>
    <xdr:to>
      <xdr:col>7</xdr:col>
      <xdr:colOff>418320</xdr:colOff>
      <xdr:row>198</xdr:row>
      <xdr:rowOff>306000</xdr:rowOff>
    </xdr:to>
    <xdr:pic>
      <xdr:nvPicPr>
        <xdr:cNvPr id="196" name="Image 195" descr="Picture">
          <a:extLst>
            <a:ext uri="{FF2B5EF4-FFF2-40B4-BE49-F238E27FC236}">
              <a16:creationId xmlns:a16="http://schemas.microsoft.com/office/drawing/2014/main" id="{00000000-0008-0000-0100-0000C4000000}"/>
            </a:ext>
          </a:extLst>
        </xdr:cNvPr>
        <xdr:cNvPicPr/>
      </xdr:nvPicPr>
      <xdr:blipFill>
        <a:blip xmlns:r="http://schemas.openxmlformats.org/officeDocument/2006/relationships" r:embed="rId195"/>
        <a:stretch/>
      </xdr:blipFill>
      <xdr:spPr>
        <a:xfrm>
          <a:off x="6883560" y="85622040"/>
          <a:ext cx="418320" cy="418320"/>
        </a:xfrm>
        <a:prstGeom prst="rect">
          <a:avLst/>
        </a:prstGeom>
        <a:ln w="0">
          <a:noFill/>
        </a:ln>
      </xdr:spPr>
    </xdr:pic>
    <xdr:clientData/>
  </xdr:twoCellAnchor>
  <xdr:twoCellAnchor editAs="oneCell">
    <xdr:from>
      <xdr:col>7</xdr:col>
      <xdr:colOff>0</xdr:colOff>
      <xdr:row>197</xdr:row>
      <xdr:rowOff>325800</xdr:rowOff>
    </xdr:from>
    <xdr:to>
      <xdr:col>7</xdr:col>
      <xdr:colOff>418320</xdr:colOff>
      <xdr:row>198</xdr:row>
      <xdr:rowOff>418350</xdr:rowOff>
    </xdr:to>
    <xdr:pic>
      <xdr:nvPicPr>
        <xdr:cNvPr id="197" name="Image 196" descr="Picture">
          <a:extLst>
            <a:ext uri="{FF2B5EF4-FFF2-40B4-BE49-F238E27FC236}">
              <a16:creationId xmlns:a16="http://schemas.microsoft.com/office/drawing/2014/main" id="{00000000-0008-0000-0100-0000C5000000}"/>
            </a:ext>
          </a:extLst>
        </xdr:cNvPr>
        <xdr:cNvPicPr/>
      </xdr:nvPicPr>
      <xdr:blipFill>
        <a:blip xmlns:r="http://schemas.openxmlformats.org/officeDocument/2006/relationships" r:embed="rId196"/>
        <a:stretch/>
      </xdr:blipFill>
      <xdr:spPr>
        <a:xfrm>
          <a:off x="6883560" y="86060160"/>
          <a:ext cx="418320" cy="418680"/>
        </a:xfrm>
        <a:prstGeom prst="rect">
          <a:avLst/>
        </a:prstGeom>
        <a:ln w="0">
          <a:noFill/>
        </a:ln>
      </xdr:spPr>
    </xdr:pic>
    <xdr:clientData/>
  </xdr:twoCellAnchor>
  <xdr:twoCellAnchor editAs="oneCell">
    <xdr:from>
      <xdr:col>7</xdr:col>
      <xdr:colOff>0</xdr:colOff>
      <xdr:row>198</xdr:row>
      <xdr:rowOff>325800</xdr:rowOff>
    </xdr:from>
    <xdr:to>
      <xdr:col>7</xdr:col>
      <xdr:colOff>418320</xdr:colOff>
      <xdr:row>199</xdr:row>
      <xdr:rowOff>305640</xdr:rowOff>
    </xdr:to>
    <xdr:pic>
      <xdr:nvPicPr>
        <xdr:cNvPr id="198" name="Image 197" descr="Picture">
          <a:extLst>
            <a:ext uri="{FF2B5EF4-FFF2-40B4-BE49-F238E27FC236}">
              <a16:creationId xmlns:a16="http://schemas.microsoft.com/office/drawing/2014/main" id="{00000000-0008-0000-0100-0000C6000000}"/>
            </a:ext>
          </a:extLst>
        </xdr:cNvPr>
        <xdr:cNvPicPr/>
      </xdr:nvPicPr>
      <xdr:blipFill>
        <a:blip xmlns:r="http://schemas.openxmlformats.org/officeDocument/2006/relationships" r:embed="rId197"/>
        <a:stretch/>
      </xdr:blipFill>
      <xdr:spPr>
        <a:xfrm>
          <a:off x="6883560" y="86498640"/>
          <a:ext cx="418320" cy="417960"/>
        </a:xfrm>
        <a:prstGeom prst="rect">
          <a:avLst/>
        </a:prstGeom>
        <a:ln w="0">
          <a:noFill/>
        </a:ln>
      </xdr:spPr>
    </xdr:pic>
    <xdr:clientData/>
  </xdr:twoCellAnchor>
  <xdr:twoCellAnchor editAs="oneCell">
    <xdr:from>
      <xdr:col>7</xdr:col>
      <xdr:colOff>0</xdr:colOff>
      <xdr:row>199</xdr:row>
      <xdr:rowOff>325440</xdr:rowOff>
    </xdr:from>
    <xdr:to>
      <xdr:col>7</xdr:col>
      <xdr:colOff>418320</xdr:colOff>
      <xdr:row>200</xdr:row>
      <xdr:rowOff>305640</xdr:rowOff>
    </xdr:to>
    <xdr:pic>
      <xdr:nvPicPr>
        <xdr:cNvPr id="199" name="Image 198" descr="Picture">
          <a:extLst>
            <a:ext uri="{FF2B5EF4-FFF2-40B4-BE49-F238E27FC236}">
              <a16:creationId xmlns:a16="http://schemas.microsoft.com/office/drawing/2014/main" id="{00000000-0008-0000-0100-0000C7000000}"/>
            </a:ext>
          </a:extLst>
        </xdr:cNvPr>
        <xdr:cNvPicPr/>
      </xdr:nvPicPr>
      <xdr:blipFill>
        <a:blip xmlns:r="http://schemas.openxmlformats.org/officeDocument/2006/relationships" r:embed="rId198"/>
        <a:stretch/>
      </xdr:blipFill>
      <xdr:spPr>
        <a:xfrm>
          <a:off x="6883560" y="86936400"/>
          <a:ext cx="418320" cy="418320"/>
        </a:xfrm>
        <a:prstGeom prst="rect">
          <a:avLst/>
        </a:prstGeom>
        <a:ln w="0">
          <a:noFill/>
        </a:ln>
      </xdr:spPr>
    </xdr:pic>
    <xdr:clientData/>
  </xdr:twoCellAnchor>
  <xdr:twoCellAnchor editAs="oneCell">
    <xdr:from>
      <xdr:col>7</xdr:col>
      <xdr:colOff>0</xdr:colOff>
      <xdr:row>200</xdr:row>
      <xdr:rowOff>325440</xdr:rowOff>
    </xdr:from>
    <xdr:to>
      <xdr:col>7</xdr:col>
      <xdr:colOff>418320</xdr:colOff>
      <xdr:row>201</xdr:row>
      <xdr:rowOff>305640</xdr:rowOff>
    </xdr:to>
    <xdr:pic>
      <xdr:nvPicPr>
        <xdr:cNvPr id="200" name="Image 199" descr="Picture">
          <a:extLst>
            <a:ext uri="{FF2B5EF4-FFF2-40B4-BE49-F238E27FC236}">
              <a16:creationId xmlns:a16="http://schemas.microsoft.com/office/drawing/2014/main" id="{00000000-0008-0000-0100-0000C8000000}"/>
            </a:ext>
          </a:extLst>
        </xdr:cNvPr>
        <xdr:cNvPicPr/>
      </xdr:nvPicPr>
      <xdr:blipFill>
        <a:blip xmlns:r="http://schemas.openxmlformats.org/officeDocument/2006/relationships" r:embed="rId199"/>
        <a:stretch/>
      </xdr:blipFill>
      <xdr:spPr>
        <a:xfrm>
          <a:off x="6883560" y="87374520"/>
          <a:ext cx="418320" cy="418320"/>
        </a:xfrm>
        <a:prstGeom prst="rect">
          <a:avLst/>
        </a:prstGeom>
        <a:ln w="0">
          <a:noFill/>
        </a:ln>
      </xdr:spPr>
    </xdr:pic>
    <xdr:clientData/>
  </xdr:twoCellAnchor>
  <xdr:twoCellAnchor editAs="oneCell">
    <xdr:from>
      <xdr:col>7</xdr:col>
      <xdr:colOff>0</xdr:colOff>
      <xdr:row>201</xdr:row>
      <xdr:rowOff>325800</xdr:rowOff>
    </xdr:from>
    <xdr:to>
      <xdr:col>7</xdr:col>
      <xdr:colOff>418320</xdr:colOff>
      <xdr:row>202</xdr:row>
      <xdr:rowOff>306000</xdr:rowOff>
    </xdr:to>
    <xdr:pic>
      <xdr:nvPicPr>
        <xdr:cNvPr id="201" name="Image 200" descr="Picture">
          <a:extLst>
            <a:ext uri="{FF2B5EF4-FFF2-40B4-BE49-F238E27FC236}">
              <a16:creationId xmlns:a16="http://schemas.microsoft.com/office/drawing/2014/main" id="{00000000-0008-0000-0100-0000C9000000}"/>
            </a:ext>
          </a:extLst>
        </xdr:cNvPr>
        <xdr:cNvPicPr/>
      </xdr:nvPicPr>
      <xdr:blipFill>
        <a:blip xmlns:r="http://schemas.openxmlformats.org/officeDocument/2006/relationships" r:embed="rId200"/>
        <a:stretch/>
      </xdr:blipFill>
      <xdr:spPr>
        <a:xfrm>
          <a:off x="6883560" y="87813000"/>
          <a:ext cx="418320" cy="418320"/>
        </a:xfrm>
        <a:prstGeom prst="rect">
          <a:avLst/>
        </a:prstGeom>
        <a:ln w="0">
          <a:noFill/>
        </a:ln>
      </xdr:spPr>
    </xdr:pic>
    <xdr:clientData/>
  </xdr:twoCellAnchor>
  <xdr:twoCellAnchor editAs="oneCell">
    <xdr:from>
      <xdr:col>7</xdr:col>
      <xdr:colOff>0</xdr:colOff>
      <xdr:row>202</xdr:row>
      <xdr:rowOff>325800</xdr:rowOff>
    </xdr:from>
    <xdr:to>
      <xdr:col>7</xdr:col>
      <xdr:colOff>418320</xdr:colOff>
      <xdr:row>203</xdr:row>
      <xdr:rowOff>306000</xdr:rowOff>
    </xdr:to>
    <xdr:pic>
      <xdr:nvPicPr>
        <xdr:cNvPr id="202" name="Image 201" descr="Picture">
          <a:extLst>
            <a:ext uri="{FF2B5EF4-FFF2-40B4-BE49-F238E27FC236}">
              <a16:creationId xmlns:a16="http://schemas.microsoft.com/office/drawing/2014/main" id="{00000000-0008-0000-0100-0000CA000000}"/>
            </a:ext>
          </a:extLst>
        </xdr:cNvPr>
        <xdr:cNvPicPr/>
      </xdr:nvPicPr>
      <xdr:blipFill>
        <a:blip xmlns:r="http://schemas.openxmlformats.org/officeDocument/2006/relationships" r:embed="rId201"/>
        <a:stretch/>
      </xdr:blipFill>
      <xdr:spPr>
        <a:xfrm>
          <a:off x="6883560" y="88251120"/>
          <a:ext cx="418320" cy="418320"/>
        </a:xfrm>
        <a:prstGeom prst="rect">
          <a:avLst/>
        </a:prstGeom>
        <a:ln w="0">
          <a:noFill/>
        </a:ln>
      </xdr:spPr>
    </xdr:pic>
    <xdr:clientData/>
  </xdr:twoCellAnchor>
  <xdr:twoCellAnchor editAs="oneCell">
    <xdr:from>
      <xdr:col>7</xdr:col>
      <xdr:colOff>0</xdr:colOff>
      <xdr:row>203</xdr:row>
      <xdr:rowOff>325800</xdr:rowOff>
    </xdr:from>
    <xdr:to>
      <xdr:col>7</xdr:col>
      <xdr:colOff>418320</xdr:colOff>
      <xdr:row>204</xdr:row>
      <xdr:rowOff>306000</xdr:rowOff>
    </xdr:to>
    <xdr:pic>
      <xdr:nvPicPr>
        <xdr:cNvPr id="203" name="Image 202" descr="Picture">
          <a:extLst>
            <a:ext uri="{FF2B5EF4-FFF2-40B4-BE49-F238E27FC236}">
              <a16:creationId xmlns:a16="http://schemas.microsoft.com/office/drawing/2014/main" id="{00000000-0008-0000-0100-0000CB000000}"/>
            </a:ext>
          </a:extLst>
        </xdr:cNvPr>
        <xdr:cNvPicPr/>
      </xdr:nvPicPr>
      <xdr:blipFill>
        <a:blip xmlns:r="http://schemas.openxmlformats.org/officeDocument/2006/relationships" r:embed="rId202"/>
        <a:stretch/>
      </xdr:blipFill>
      <xdr:spPr>
        <a:xfrm>
          <a:off x="6883560" y="88689240"/>
          <a:ext cx="418320" cy="418320"/>
        </a:xfrm>
        <a:prstGeom prst="rect">
          <a:avLst/>
        </a:prstGeom>
        <a:ln w="0">
          <a:noFill/>
        </a:ln>
      </xdr:spPr>
    </xdr:pic>
    <xdr:clientData/>
  </xdr:twoCellAnchor>
  <xdr:twoCellAnchor editAs="oneCell">
    <xdr:from>
      <xdr:col>7</xdr:col>
      <xdr:colOff>0</xdr:colOff>
      <xdr:row>204</xdr:row>
      <xdr:rowOff>325800</xdr:rowOff>
    </xdr:from>
    <xdr:to>
      <xdr:col>7</xdr:col>
      <xdr:colOff>418320</xdr:colOff>
      <xdr:row>208</xdr:row>
      <xdr:rowOff>306000</xdr:rowOff>
    </xdr:to>
    <xdr:pic>
      <xdr:nvPicPr>
        <xdr:cNvPr id="204" name="Image 203" descr="Picture">
          <a:extLst>
            <a:ext uri="{FF2B5EF4-FFF2-40B4-BE49-F238E27FC236}">
              <a16:creationId xmlns:a16="http://schemas.microsoft.com/office/drawing/2014/main" id="{00000000-0008-0000-0100-0000CC000000}"/>
            </a:ext>
          </a:extLst>
        </xdr:cNvPr>
        <xdr:cNvPicPr/>
      </xdr:nvPicPr>
      <xdr:blipFill>
        <a:blip xmlns:r="http://schemas.openxmlformats.org/officeDocument/2006/relationships" r:embed="rId203"/>
        <a:stretch/>
      </xdr:blipFill>
      <xdr:spPr>
        <a:xfrm>
          <a:off x="6883560" y="89127360"/>
          <a:ext cx="418320" cy="418320"/>
        </a:xfrm>
        <a:prstGeom prst="rect">
          <a:avLst/>
        </a:prstGeom>
        <a:ln w="0">
          <a:noFill/>
        </a:ln>
      </xdr:spPr>
    </xdr:pic>
    <xdr:clientData/>
  </xdr:twoCellAnchor>
  <xdr:twoCellAnchor editAs="oneCell">
    <xdr:from>
      <xdr:col>7</xdr:col>
      <xdr:colOff>0</xdr:colOff>
      <xdr:row>205</xdr:row>
      <xdr:rowOff>325800</xdr:rowOff>
    </xdr:from>
    <xdr:to>
      <xdr:col>7</xdr:col>
      <xdr:colOff>418320</xdr:colOff>
      <xdr:row>208</xdr:row>
      <xdr:rowOff>418350</xdr:rowOff>
    </xdr:to>
    <xdr:pic>
      <xdr:nvPicPr>
        <xdr:cNvPr id="205" name="Image 204" descr="Picture">
          <a:extLst>
            <a:ext uri="{FF2B5EF4-FFF2-40B4-BE49-F238E27FC236}">
              <a16:creationId xmlns:a16="http://schemas.microsoft.com/office/drawing/2014/main" id="{00000000-0008-0000-0100-0000CD000000}"/>
            </a:ext>
          </a:extLst>
        </xdr:cNvPr>
        <xdr:cNvPicPr/>
      </xdr:nvPicPr>
      <xdr:blipFill>
        <a:blip xmlns:r="http://schemas.openxmlformats.org/officeDocument/2006/relationships" r:embed="rId204"/>
        <a:stretch/>
      </xdr:blipFill>
      <xdr:spPr>
        <a:xfrm>
          <a:off x="6883560" y="89565480"/>
          <a:ext cx="418320" cy="418320"/>
        </a:xfrm>
        <a:prstGeom prst="rect">
          <a:avLst/>
        </a:prstGeom>
        <a:ln w="0">
          <a:noFill/>
        </a:ln>
      </xdr:spPr>
    </xdr:pic>
    <xdr:clientData/>
  </xdr:twoCellAnchor>
  <xdr:twoCellAnchor editAs="oneCell">
    <xdr:from>
      <xdr:col>7</xdr:col>
      <xdr:colOff>0</xdr:colOff>
      <xdr:row>206</xdr:row>
      <xdr:rowOff>325800</xdr:rowOff>
    </xdr:from>
    <xdr:to>
      <xdr:col>7</xdr:col>
      <xdr:colOff>418320</xdr:colOff>
      <xdr:row>208</xdr:row>
      <xdr:rowOff>418350</xdr:rowOff>
    </xdr:to>
    <xdr:pic>
      <xdr:nvPicPr>
        <xdr:cNvPr id="206" name="Image 205" descr="Picture">
          <a:extLst>
            <a:ext uri="{FF2B5EF4-FFF2-40B4-BE49-F238E27FC236}">
              <a16:creationId xmlns:a16="http://schemas.microsoft.com/office/drawing/2014/main" id="{00000000-0008-0000-0100-0000CE000000}"/>
            </a:ext>
          </a:extLst>
        </xdr:cNvPr>
        <xdr:cNvPicPr/>
      </xdr:nvPicPr>
      <xdr:blipFill>
        <a:blip xmlns:r="http://schemas.openxmlformats.org/officeDocument/2006/relationships" r:embed="rId205"/>
        <a:stretch/>
      </xdr:blipFill>
      <xdr:spPr>
        <a:xfrm>
          <a:off x="6883560" y="90003600"/>
          <a:ext cx="418320" cy="418320"/>
        </a:xfrm>
        <a:prstGeom prst="rect">
          <a:avLst/>
        </a:prstGeom>
        <a:ln w="0">
          <a:noFill/>
        </a:ln>
      </xdr:spPr>
    </xdr:pic>
    <xdr:clientData/>
  </xdr:twoCellAnchor>
  <xdr:twoCellAnchor editAs="oneCell">
    <xdr:from>
      <xdr:col>7</xdr:col>
      <xdr:colOff>0</xdr:colOff>
      <xdr:row>207</xdr:row>
      <xdr:rowOff>325800</xdr:rowOff>
    </xdr:from>
    <xdr:to>
      <xdr:col>7</xdr:col>
      <xdr:colOff>418320</xdr:colOff>
      <xdr:row>208</xdr:row>
      <xdr:rowOff>418350</xdr:rowOff>
    </xdr:to>
    <xdr:pic>
      <xdr:nvPicPr>
        <xdr:cNvPr id="207" name="Image 206" descr="Picture">
          <a:extLst>
            <a:ext uri="{FF2B5EF4-FFF2-40B4-BE49-F238E27FC236}">
              <a16:creationId xmlns:a16="http://schemas.microsoft.com/office/drawing/2014/main" id="{00000000-0008-0000-0100-0000CF000000}"/>
            </a:ext>
          </a:extLst>
        </xdr:cNvPr>
        <xdr:cNvPicPr/>
      </xdr:nvPicPr>
      <xdr:blipFill>
        <a:blip xmlns:r="http://schemas.openxmlformats.org/officeDocument/2006/relationships" r:embed="rId206"/>
        <a:stretch/>
      </xdr:blipFill>
      <xdr:spPr>
        <a:xfrm>
          <a:off x="6883560" y="90441720"/>
          <a:ext cx="418320" cy="418320"/>
        </a:xfrm>
        <a:prstGeom prst="rect">
          <a:avLst/>
        </a:prstGeom>
        <a:ln w="0">
          <a:noFill/>
        </a:ln>
      </xdr:spPr>
    </xdr:pic>
    <xdr:clientData/>
  </xdr:twoCellAnchor>
  <xdr:twoCellAnchor editAs="oneCell">
    <xdr:from>
      <xdr:col>7</xdr:col>
      <xdr:colOff>0</xdr:colOff>
      <xdr:row>208</xdr:row>
      <xdr:rowOff>325800</xdr:rowOff>
    </xdr:from>
    <xdr:to>
      <xdr:col>7</xdr:col>
      <xdr:colOff>418320</xdr:colOff>
      <xdr:row>209</xdr:row>
      <xdr:rowOff>306000</xdr:rowOff>
    </xdr:to>
    <xdr:pic>
      <xdr:nvPicPr>
        <xdr:cNvPr id="208" name="Image 207" descr="Picture">
          <a:extLst>
            <a:ext uri="{FF2B5EF4-FFF2-40B4-BE49-F238E27FC236}">
              <a16:creationId xmlns:a16="http://schemas.microsoft.com/office/drawing/2014/main" id="{00000000-0008-0000-0100-0000D0000000}"/>
            </a:ext>
          </a:extLst>
        </xdr:cNvPr>
        <xdr:cNvPicPr/>
      </xdr:nvPicPr>
      <xdr:blipFill>
        <a:blip xmlns:r="http://schemas.openxmlformats.org/officeDocument/2006/relationships" r:embed="rId207"/>
        <a:stretch/>
      </xdr:blipFill>
      <xdr:spPr>
        <a:xfrm>
          <a:off x="6883560" y="90879840"/>
          <a:ext cx="418320" cy="418320"/>
        </a:xfrm>
        <a:prstGeom prst="rect">
          <a:avLst/>
        </a:prstGeom>
        <a:ln w="0">
          <a:noFill/>
        </a:ln>
      </xdr:spPr>
    </xdr:pic>
    <xdr:clientData/>
  </xdr:twoCellAnchor>
  <xdr:twoCellAnchor editAs="oneCell">
    <xdr:from>
      <xdr:col>7</xdr:col>
      <xdr:colOff>0</xdr:colOff>
      <xdr:row>209</xdr:row>
      <xdr:rowOff>325800</xdr:rowOff>
    </xdr:from>
    <xdr:to>
      <xdr:col>7</xdr:col>
      <xdr:colOff>418320</xdr:colOff>
      <xdr:row>210</xdr:row>
      <xdr:rowOff>306000</xdr:rowOff>
    </xdr:to>
    <xdr:pic>
      <xdr:nvPicPr>
        <xdr:cNvPr id="209" name="Image 208" descr="Picture">
          <a:extLst>
            <a:ext uri="{FF2B5EF4-FFF2-40B4-BE49-F238E27FC236}">
              <a16:creationId xmlns:a16="http://schemas.microsoft.com/office/drawing/2014/main" id="{00000000-0008-0000-0100-0000D1000000}"/>
            </a:ext>
          </a:extLst>
        </xdr:cNvPr>
        <xdr:cNvPicPr/>
      </xdr:nvPicPr>
      <xdr:blipFill>
        <a:blip xmlns:r="http://schemas.openxmlformats.org/officeDocument/2006/relationships" r:embed="rId208"/>
        <a:stretch/>
      </xdr:blipFill>
      <xdr:spPr>
        <a:xfrm>
          <a:off x="6883560" y="91317960"/>
          <a:ext cx="418320" cy="418680"/>
        </a:xfrm>
        <a:prstGeom prst="rect">
          <a:avLst/>
        </a:prstGeom>
        <a:ln w="0">
          <a:noFill/>
        </a:ln>
      </xdr:spPr>
    </xdr:pic>
    <xdr:clientData/>
  </xdr:twoCellAnchor>
  <xdr:twoCellAnchor editAs="oneCell">
    <xdr:from>
      <xdr:col>7</xdr:col>
      <xdr:colOff>0</xdr:colOff>
      <xdr:row>210</xdr:row>
      <xdr:rowOff>325800</xdr:rowOff>
    </xdr:from>
    <xdr:to>
      <xdr:col>7</xdr:col>
      <xdr:colOff>418320</xdr:colOff>
      <xdr:row>211</xdr:row>
      <xdr:rowOff>305640</xdr:rowOff>
    </xdr:to>
    <xdr:pic>
      <xdr:nvPicPr>
        <xdr:cNvPr id="210" name="Image 209" descr="Picture">
          <a:extLst>
            <a:ext uri="{FF2B5EF4-FFF2-40B4-BE49-F238E27FC236}">
              <a16:creationId xmlns:a16="http://schemas.microsoft.com/office/drawing/2014/main" id="{00000000-0008-0000-0100-0000D2000000}"/>
            </a:ext>
          </a:extLst>
        </xdr:cNvPr>
        <xdr:cNvPicPr/>
      </xdr:nvPicPr>
      <xdr:blipFill>
        <a:blip xmlns:r="http://schemas.openxmlformats.org/officeDocument/2006/relationships" r:embed="rId209"/>
        <a:stretch/>
      </xdr:blipFill>
      <xdr:spPr>
        <a:xfrm>
          <a:off x="6883560" y="91756440"/>
          <a:ext cx="418320" cy="417960"/>
        </a:xfrm>
        <a:prstGeom prst="rect">
          <a:avLst/>
        </a:prstGeom>
        <a:ln w="0">
          <a:noFill/>
        </a:ln>
      </xdr:spPr>
    </xdr:pic>
    <xdr:clientData/>
  </xdr:twoCellAnchor>
  <xdr:twoCellAnchor editAs="oneCell">
    <xdr:from>
      <xdr:col>7</xdr:col>
      <xdr:colOff>0</xdr:colOff>
      <xdr:row>211</xdr:row>
      <xdr:rowOff>325440</xdr:rowOff>
    </xdr:from>
    <xdr:to>
      <xdr:col>7</xdr:col>
      <xdr:colOff>418320</xdr:colOff>
      <xdr:row>212</xdr:row>
      <xdr:rowOff>305640</xdr:rowOff>
    </xdr:to>
    <xdr:pic>
      <xdr:nvPicPr>
        <xdr:cNvPr id="211" name="Image 210" descr="Picture">
          <a:extLst>
            <a:ext uri="{FF2B5EF4-FFF2-40B4-BE49-F238E27FC236}">
              <a16:creationId xmlns:a16="http://schemas.microsoft.com/office/drawing/2014/main" id="{00000000-0008-0000-0100-0000D3000000}"/>
            </a:ext>
          </a:extLst>
        </xdr:cNvPr>
        <xdr:cNvPicPr/>
      </xdr:nvPicPr>
      <xdr:blipFill>
        <a:blip xmlns:r="http://schemas.openxmlformats.org/officeDocument/2006/relationships" r:embed="rId210"/>
        <a:stretch/>
      </xdr:blipFill>
      <xdr:spPr>
        <a:xfrm>
          <a:off x="6883560" y="92194200"/>
          <a:ext cx="418320" cy="418320"/>
        </a:xfrm>
        <a:prstGeom prst="rect">
          <a:avLst/>
        </a:prstGeom>
        <a:ln w="0">
          <a:noFill/>
        </a:ln>
      </xdr:spPr>
    </xdr:pic>
    <xdr:clientData/>
  </xdr:twoCellAnchor>
  <xdr:twoCellAnchor editAs="oneCell">
    <xdr:from>
      <xdr:col>7</xdr:col>
      <xdr:colOff>0</xdr:colOff>
      <xdr:row>212</xdr:row>
      <xdr:rowOff>325440</xdr:rowOff>
    </xdr:from>
    <xdr:to>
      <xdr:col>7</xdr:col>
      <xdr:colOff>418320</xdr:colOff>
      <xdr:row>214</xdr:row>
      <xdr:rowOff>305640</xdr:rowOff>
    </xdr:to>
    <xdr:pic>
      <xdr:nvPicPr>
        <xdr:cNvPr id="212" name="Image 211" descr="Picture">
          <a:extLst>
            <a:ext uri="{FF2B5EF4-FFF2-40B4-BE49-F238E27FC236}">
              <a16:creationId xmlns:a16="http://schemas.microsoft.com/office/drawing/2014/main" id="{00000000-0008-0000-0100-0000D4000000}"/>
            </a:ext>
          </a:extLst>
        </xdr:cNvPr>
        <xdr:cNvPicPr/>
      </xdr:nvPicPr>
      <xdr:blipFill>
        <a:blip xmlns:r="http://schemas.openxmlformats.org/officeDocument/2006/relationships" r:embed="rId211"/>
        <a:stretch/>
      </xdr:blipFill>
      <xdr:spPr>
        <a:xfrm>
          <a:off x="6883560" y="92632320"/>
          <a:ext cx="418320" cy="418320"/>
        </a:xfrm>
        <a:prstGeom prst="rect">
          <a:avLst/>
        </a:prstGeom>
        <a:ln w="0">
          <a:noFill/>
        </a:ln>
      </xdr:spPr>
    </xdr:pic>
    <xdr:clientData/>
  </xdr:twoCellAnchor>
  <xdr:twoCellAnchor editAs="oneCell">
    <xdr:from>
      <xdr:col>7</xdr:col>
      <xdr:colOff>0</xdr:colOff>
      <xdr:row>213</xdr:row>
      <xdr:rowOff>325800</xdr:rowOff>
    </xdr:from>
    <xdr:to>
      <xdr:col>7</xdr:col>
      <xdr:colOff>418320</xdr:colOff>
      <xdr:row>214</xdr:row>
      <xdr:rowOff>418350</xdr:rowOff>
    </xdr:to>
    <xdr:pic>
      <xdr:nvPicPr>
        <xdr:cNvPr id="213" name="Image 212" descr="Picture">
          <a:extLst>
            <a:ext uri="{FF2B5EF4-FFF2-40B4-BE49-F238E27FC236}">
              <a16:creationId xmlns:a16="http://schemas.microsoft.com/office/drawing/2014/main" id="{00000000-0008-0000-0100-0000D5000000}"/>
            </a:ext>
          </a:extLst>
        </xdr:cNvPr>
        <xdr:cNvPicPr/>
      </xdr:nvPicPr>
      <xdr:blipFill>
        <a:blip xmlns:r="http://schemas.openxmlformats.org/officeDocument/2006/relationships" r:embed="rId212"/>
        <a:stretch/>
      </xdr:blipFill>
      <xdr:spPr>
        <a:xfrm>
          <a:off x="6883560" y="93070800"/>
          <a:ext cx="418320" cy="418320"/>
        </a:xfrm>
        <a:prstGeom prst="rect">
          <a:avLst/>
        </a:prstGeom>
        <a:ln w="0">
          <a:noFill/>
        </a:ln>
      </xdr:spPr>
    </xdr:pic>
    <xdr:clientData/>
  </xdr:twoCellAnchor>
  <xdr:twoCellAnchor editAs="oneCell">
    <xdr:from>
      <xdr:col>7</xdr:col>
      <xdr:colOff>0</xdr:colOff>
      <xdr:row>214</xdr:row>
      <xdr:rowOff>325800</xdr:rowOff>
    </xdr:from>
    <xdr:to>
      <xdr:col>7</xdr:col>
      <xdr:colOff>418320</xdr:colOff>
      <xdr:row>215</xdr:row>
      <xdr:rowOff>306000</xdr:rowOff>
    </xdr:to>
    <xdr:pic>
      <xdr:nvPicPr>
        <xdr:cNvPr id="214" name="Image 213" descr="Picture">
          <a:extLst>
            <a:ext uri="{FF2B5EF4-FFF2-40B4-BE49-F238E27FC236}">
              <a16:creationId xmlns:a16="http://schemas.microsoft.com/office/drawing/2014/main" id="{00000000-0008-0000-0100-0000D6000000}"/>
            </a:ext>
          </a:extLst>
        </xdr:cNvPr>
        <xdr:cNvPicPr/>
      </xdr:nvPicPr>
      <xdr:blipFill>
        <a:blip xmlns:r="http://schemas.openxmlformats.org/officeDocument/2006/relationships" r:embed="rId213"/>
        <a:stretch/>
      </xdr:blipFill>
      <xdr:spPr>
        <a:xfrm>
          <a:off x="6883560" y="93508920"/>
          <a:ext cx="418320" cy="418320"/>
        </a:xfrm>
        <a:prstGeom prst="rect">
          <a:avLst/>
        </a:prstGeom>
        <a:ln w="0">
          <a:noFill/>
        </a:ln>
      </xdr:spPr>
    </xdr:pic>
    <xdr:clientData/>
  </xdr:twoCellAnchor>
  <xdr:twoCellAnchor editAs="oneCell">
    <xdr:from>
      <xdr:col>7</xdr:col>
      <xdr:colOff>0</xdr:colOff>
      <xdr:row>215</xdr:row>
      <xdr:rowOff>325800</xdr:rowOff>
    </xdr:from>
    <xdr:to>
      <xdr:col>7</xdr:col>
      <xdr:colOff>418320</xdr:colOff>
      <xdr:row>216</xdr:row>
      <xdr:rowOff>306000</xdr:rowOff>
    </xdr:to>
    <xdr:pic>
      <xdr:nvPicPr>
        <xdr:cNvPr id="215" name="Image 214" descr="Picture">
          <a:extLst>
            <a:ext uri="{FF2B5EF4-FFF2-40B4-BE49-F238E27FC236}">
              <a16:creationId xmlns:a16="http://schemas.microsoft.com/office/drawing/2014/main" id="{00000000-0008-0000-0100-0000D7000000}"/>
            </a:ext>
          </a:extLst>
        </xdr:cNvPr>
        <xdr:cNvPicPr/>
      </xdr:nvPicPr>
      <xdr:blipFill>
        <a:blip xmlns:r="http://schemas.openxmlformats.org/officeDocument/2006/relationships" r:embed="rId214"/>
        <a:stretch/>
      </xdr:blipFill>
      <xdr:spPr>
        <a:xfrm>
          <a:off x="6883560" y="93947040"/>
          <a:ext cx="418320" cy="418320"/>
        </a:xfrm>
        <a:prstGeom prst="rect">
          <a:avLst/>
        </a:prstGeom>
        <a:ln w="0">
          <a:noFill/>
        </a:ln>
      </xdr:spPr>
    </xdr:pic>
    <xdr:clientData/>
  </xdr:twoCellAnchor>
  <xdr:twoCellAnchor editAs="oneCell">
    <xdr:from>
      <xdr:col>7</xdr:col>
      <xdr:colOff>0</xdr:colOff>
      <xdr:row>216</xdr:row>
      <xdr:rowOff>325800</xdr:rowOff>
    </xdr:from>
    <xdr:to>
      <xdr:col>7</xdr:col>
      <xdr:colOff>418320</xdr:colOff>
      <xdr:row>217</xdr:row>
      <xdr:rowOff>306000</xdr:rowOff>
    </xdr:to>
    <xdr:pic>
      <xdr:nvPicPr>
        <xdr:cNvPr id="216" name="Image 215" descr="Picture">
          <a:extLst>
            <a:ext uri="{FF2B5EF4-FFF2-40B4-BE49-F238E27FC236}">
              <a16:creationId xmlns:a16="http://schemas.microsoft.com/office/drawing/2014/main" id="{00000000-0008-0000-0100-0000D8000000}"/>
            </a:ext>
          </a:extLst>
        </xdr:cNvPr>
        <xdr:cNvPicPr/>
      </xdr:nvPicPr>
      <xdr:blipFill>
        <a:blip xmlns:r="http://schemas.openxmlformats.org/officeDocument/2006/relationships" r:embed="rId215"/>
        <a:stretch/>
      </xdr:blipFill>
      <xdr:spPr>
        <a:xfrm>
          <a:off x="6883560" y="94385160"/>
          <a:ext cx="418320" cy="418320"/>
        </a:xfrm>
        <a:prstGeom prst="rect">
          <a:avLst/>
        </a:prstGeom>
        <a:ln w="0">
          <a:noFill/>
        </a:ln>
      </xdr:spPr>
    </xdr:pic>
    <xdr:clientData/>
  </xdr:twoCellAnchor>
  <xdr:twoCellAnchor editAs="oneCell">
    <xdr:from>
      <xdr:col>7</xdr:col>
      <xdr:colOff>0</xdr:colOff>
      <xdr:row>217</xdr:row>
      <xdr:rowOff>325800</xdr:rowOff>
    </xdr:from>
    <xdr:to>
      <xdr:col>7</xdr:col>
      <xdr:colOff>418320</xdr:colOff>
      <xdr:row>218</xdr:row>
      <xdr:rowOff>306000</xdr:rowOff>
    </xdr:to>
    <xdr:pic>
      <xdr:nvPicPr>
        <xdr:cNvPr id="217" name="Image 216" descr="Picture">
          <a:extLst>
            <a:ext uri="{FF2B5EF4-FFF2-40B4-BE49-F238E27FC236}">
              <a16:creationId xmlns:a16="http://schemas.microsoft.com/office/drawing/2014/main" id="{00000000-0008-0000-0100-0000D9000000}"/>
            </a:ext>
          </a:extLst>
        </xdr:cNvPr>
        <xdr:cNvPicPr/>
      </xdr:nvPicPr>
      <xdr:blipFill>
        <a:blip xmlns:r="http://schemas.openxmlformats.org/officeDocument/2006/relationships" r:embed="rId216"/>
        <a:stretch/>
      </xdr:blipFill>
      <xdr:spPr>
        <a:xfrm>
          <a:off x="6883560" y="94823280"/>
          <a:ext cx="418320" cy="418320"/>
        </a:xfrm>
        <a:prstGeom prst="rect">
          <a:avLst/>
        </a:prstGeom>
        <a:ln w="0">
          <a:noFill/>
        </a:ln>
      </xdr:spPr>
    </xdr:pic>
    <xdr:clientData/>
  </xdr:twoCellAnchor>
  <xdr:twoCellAnchor editAs="oneCell">
    <xdr:from>
      <xdr:col>7</xdr:col>
      <xdr:colOff>0</xdr:colOff>
      <xdr:row>218</xdr:row>
      <xdr:rowOff>325800</xdr:rowOff>
    </xdr:from>
    <xdr:to>
      <xdr:col>7</xdr:col>
      <xdr:colOff>418320</xdr:colOff>
      <xdr:row>219</xdr:row>
      <xdr:rowOff>306000</xdr:rowOff>
    </xdr:to>
    <xdr:pic>
      <xdr:nvPicPr>
        <xdr:cNvPr id="218" name="Image 217" descr="Picture">
          <a:extLst>
            <a:ext uri="{FF2B5EF4-FFF2-40B4-BE49-F238E27FC236}">
              <a16:creationId xmlns:a16="http://schemas.microsoft.com/office/drawing/2014/main" id="{00000000-0008-0000-0100-0000DA000000}"/>
            </a:ext>
          </a:extLst>
        </xdr:cNvPr>
        <xdr:cNvPicPr/>
      </xdr:nvPicPr>
      <xdr:blipFill>
        <a:blip xmlns:r="http://schemas.openxmlformats.org/officeDocument/2006/relationships" r:embed="rId217"/>
        <a:stretch/>
      </xdr:blipFill>
      <xdr:spPr>
        <a:xfrm>
          <a:off x="6883560" y="95261400"/>
          <a:ext cx="418320" cy="418320"/>
        </a:xfrm>
        <a:prstGeom prst="rect">
          <a:avLst/>
        </a:prstGeom>
        <a:ln w="0">
          <a:noFill/>
        </a:ln>
      </xdr:spPr>
    </xdr:pic>
    <xdr:clientData/>
  </xdr:twoCellAnchor>
  <xdr:twoCellAnchor editAs="oneCell">
    <xdr:from>
      <xdr:col>7</xdr:col>
      <xdr:colOff>0</xdr:colOff>
      <xdr:row>219</xdr:row>
      <xdr:rowOff>325800</xdr:rowOff>
    </xdr:from>
    <xdr:to>
      <xdr:col>7</xdr:col>
      <xdr:colOff>418320</xdr:colOff>
      <xdr:row>220</xdr:row>
      <xdr:rowOff>306000</xdr:rowOff>
    </xdr:to>
    <xdr:pic>
      <xdr:nvPicPr>
        <xdr:cNvPr id="219" name="Image 218" descr="Picture">
          <a:extLst>
            <a:ext uri="{FF2B5EF4-FFF2-40B4-BE49-F238E27FC236}">
              <a16:creationId xmlns:a16="http://schemas.microsoft.com/office/drawing/2014/main" id="{00000000-0008-0000-0100-0000DB000000}"/>
            </a:ext>
          </a:extLst>
        </xdr:cNvPr>
        <xdr:cNvPicPr/>
      </xdr:nvPicPr>
      <xdr:blipFill>
        <a:blip xmlns:r="http://schemas.openxmlformats.org/officeDocument/2006/relationships" r:embed="rId218"/>
        <a:stretch/>
      </xdr:blipFill>
      <xdr:spPr>
        <a:xfrm>
          <a:off x="6883560" y="95699520"/>
          <a:ext cx="418320" cy="418320"/>
        </a:xfrm>
        <a:prstGeom prst="rect">
          <a:avLst/>
        </a:prstGeom>
        <a:ln w="0">
          <a:noFill/>
        </a:ln>
      </xdr:spPr>
    </xdr:pic>
    <xdr:clientData/>
  </xdr:twoCellAnchor>
  <xdr:twoCellAnchor editAs="oneCell">
    <xdr:from>
      <xdr:col>7</xdr:col>
      <xdr:colOff>0</xdr:colOff>
      <xdr:row>220</xdr:row>
      <xdr:rowOff>325800</xdr:rowOff>
    </xdr:from>
    <xdr:to>
      <xdr:col>7</xdr:col>
      <xdr:colOff>418320</xdr:colOff>
      <xdr:row>222</xdr:row>
      <xdr:rowOff>306000</xdr:rowOff>
    </xdr:to>
    <xdr:pic>
      <xdr:nvPicPr>
        <xdr:cNvPr id="220" name="Image 219" descr="Picture">
          <a:extLst>
            <a:ext uri="{FF2B5EF4-FFF2-40B4-BE49-F238E27FC236}">
              <a16:creationId xmlns:a16="http://schemas.microsoft.com/office/drawing/2014/main" id="{00000000-0008-0000-0100-0000DC000000}"/>
            </a:ext>
          </a:extLst>
        </xdr:cNvPr>
        <xdr:cNvPicPr/>
      </xdr:nvPicPr>
      <xdr:blipFill>
        <a:blip xmlns:r="http://schemas.openxmlformats.org/officeDocument/2006/relationships" r:embed="rId219"/>
        <a:stretch/>
      </xdr:blipFill>
      <xdr:spPr>
        <a:xfrm>
          <a:off x="6883560" y="96137640"/>
          <a:ext cx="418320" cy="418320"/>
        </a:xfrm>
        <a:prstGeom prst="rect">
          <a:avLst/>
        </a:prstGeom>
        <a:ln w="0">
          <a:noFill/>
        </a:ln>
      </xdr:spPr>
    </xdr:pic>
    <xdr:clientData/>
  </xdr:twoCellAnchor>
  <xdr:twoCellAnchor editAs="oneCell">
    <xdr:from>
      <xdr:col>7</xdr:col>
      <xdr:colOff>0</xdr:colOff>
      <xdr:row>221</xdr:row>
      <xdr:rowOff>325800</xdr:rowOff>
    </xdr:from>
    <xdr:to>
      <xdr:col>7</xdr:col>
      <xdr:colOff>418320</xdr:colOff>
      <xdr:row>222</xdr:row>
      <xdr:rowOff>418350</xdr:rowOff>
    </xdr:to>
    <xdr:pic>
      <xdr:nvPicPr>
        <xdr:cNvPr id="221" name="Image 220" descr="Picture">
          <a:extLst>
            <a:ext uri="{FF2B5EF4-FFF2-40B4-BE49-F238E27FC236}">
              <a16:creationId xmlns:a16="http://schemas.microsoft.com/office/drawing/2014/main" id="{00000000-0008-0000-0100-0000DD000000}"/>
            </a:ext>
          </a:extLst>
        </xdr:cNvPr>
        <xdr:cNvPicPr/>
      </xdr:nvPicPr>
      <xdr:blipFill>
        <a:blip xmlns:r="http://schemas.openxmlformats.org/officeDocument/2006/relationships" r:embed="rId220"/>
        <a:stretch/>
      </xdr:blipFill>
      <xdr:spPr>
        <a:xfrm>
          <a:off x="6883560" y="96575760"/>
          <a:ext cx="418320" cy="418680"/>
        </a:xfrm>
        <a:prstGeom prst="rect">
          <a:avLst/>
        </a:prstGeom>
        <a:ln w="0">
          <a:noFill/>
        </a:ln>
      </xdr:spPr>
    </xdr:pic>
    <xdr:clientData/>
  </xdr:twoCellAnchor>
  <xdr:twoCellAnchor editAs="oneCell">
    <xdr:from>
      <xdr:col>7</xdr:col>
      <xdr:colOff>0</xdr:colOff>
      <xdr:row>222</xdr:row>
      <xdr:rowOff>325800</xdr:rowOff>
    </xdr:from>
    <xdr:to>
      <xdr:col>7</xdr:col>
      <xdr:colOff>418320</xdr:colOff>
      <xdr:row>223</xdr:row>
      <xdr:rowOff>305640</xdr:rowOff>
    </xdr:to>
    <xdr:pic>
      <xdr:nvPicPr>
        <xdr:cNvPr id="222" name="Image 221" descr="Picture">
          <a:extLst>
            <a:ext uri="{FF2B5EF4-FFF2-40B4-BE49-F238E27FC236}">
              <a16:creationId xmlns:a16="http://schemas.microsoft.com/office/drawing/2014/main" id="{00000000-0008-0000-0100-0000DE000000}"/>
            </a:ext>
          </a:extLst>
        </xdr:cNvPr>
        <xdr:cNvPicPr/>
      </xdr:nvPicPr>
      <xdr:blipFill>
        <a:blip xmlns:r="http://schemas.openxmlformats.org/officeDocument/2006/relationships" r:embed="rId221"/>
        <a:stretch/>
      </xdr:blipFill>
      <xdr:spPr>
        <a:xfrm>
          <a:off x="6883560" y="97014240"/>
          <a:ext cx="418320" cy="417960"/>
        </a:xfrm>
        <a:prstGeom prst="rect">
          <a:avLst/>
        </a:prstGeom>
        <a:ln w="0">
          <a:noFill/>
        </a:ln>
      </xdr:spPr>
    </xdr:pic>
    <xdr:clientData/>
  </xdr:twoCellAnchor>
  <xdr:twoCellAnchor editAs="oneCell">
    <xdr:from>
      <xdr:col>7</xdr:col>
      <xdr:colOff>0</xdr:colOff>
      <xdr:row>223</xdr:row>
      <xdr:rowOff>325440</xdr:rowOff>
    </xdr:from>
    <xdr:to>
      <xdr:col>7</xdr:col>
      <xdr:colOff>418320</xdr:colOff>
      <xdr:row>224</xdr:row>
      <xdr:rowOff>305640</xdr:rowOff>
    </xdr:to>
    <xdr:pic>
      <xdr:nvPicPr>
        <xdr:cNvPr id="223" name="Image 222" descr="Picture">
          <a:extLst>
            <a:ext uri="{FF2B5EF4-FFF2-40B4-BE49-F238E27FC236}">
              <a16:creationId xmlns:a16="http://schemas.microsoft.com/office/drawing/2014/main" id="{00000000-0008-0000-0100-0000DF000000}"/>
            </a:ext>
          </a:extLst>
        </xdr:cNvPr>
        <xdr:cNvPicPr/>
      </xdr:nvPicPr>
      <xdr:blipFill>
        <a:blip xmlns:r="http://schemas.openxmlformats.org/officeDocument/2006/relationships" r:embed="rId222"/>
        <a:stretch/>
      </xdr:blipFill>
      <xdr:spPr>
        <a:xfrm>
          <a:off x="6883560" y="97452000"/>
          <a:ext cx="418320" cy="418320"/>
        </a:xfrm>
        <a:prstGeom prst="rect">
          <a:avLst/>
        </a:prstGeom>
        <a:ln w="0">
          <a:noFill/>
        </a:ln>
      </xdr:spPr>
    </xdr:pic>
    <xdr:clientData/>
  </xdr:twoCellAnchor>
  <xdr:twoCellAnchor editAs="oneCell">
    <xdr:from>
      <xdr:col>7</xdr:col>
      <xdr:colOff>0</xdr:colOff>
      <xdr:row>224</xdr:row>
      <xdr:rowOff>325440</xdr:rowOff>
    </xdr:from>
    <xdr:to>
      <xdr:col>7</xdr:col>
      <xdr:colOff>418320</xdr:colOff>
      <xdr:row>225</xdr:row>
      <xdr:rowOff>305640</xdr:rowOff>
    </xdr:to>
    <xdr:pic>
      <xdr:nvPicPr>
        <xdr:cNvPr id="224" name="Image 223" descr="Picture">
          <a:extLst>
            <a:ext uri="{FF2B5EF4-FFF2-40B4-BE49-F238E27FC236}">
              <a16:creationId xmlns:a16="http://schemas.microsoft.com/office/drawing/2014/main" id="{00000000-0008-0000-0100-0000E0000000}"/>
            </a:ext>
          </a:extLst>
        </xdr:cNvPr>
        <xdr:cNvPicPr/>
      </xdr:nvPicPr>
      <xdr:blipFill>
        <a:blip xmlns:r="http://schemas.openxmlformats.org/officeDocument/2006/relationships" r:embed="rId223"/>
        <a:stretch/>
      </xdr:blipFill>
      <xdr:spPr>
        <a:xfrm>
          <a:off x="6883560" y="97890120"/>
          <a:ext cx="418320" cy="418320"/>
        </a:xfrm>
        <a:prstGeom prst="rect">
          <a:avLst/>
        </a:prstGeom>
        <a:ln w="0">
          <a:noFill/>
        </a:ln>
      </xdr:spPr>
    </xdr:pic>
    <xdr:clientData/>
  </xdr:twoCellAnchor>
  <xdr:twoCellAnchor editAs="oneCell">
    <xdr:from>
      <xdr:col>7</xdr:col>
      <xdr:colOff>0</xdr:colOff>
      <xdr:row>225</xdr:row>
      <xdr:rowOff>325800</xdr:rowOff>
    </xdr:from>
    <xdr:to>
      <xdr:col>7</xdr:col>
      <xdr:colOff>418320</xdr:colOff>
      <xdr:row>226</xdr:row>
      <xdr:rowOff>306000</xdr:rowOff>
    </xdr:to>
    <xdr:pic>
      <xdr:nvPicPr>
        <xdr:cNvPr id="225" name="Image 224" descr="Picture">
          <a:extLst>
            <a:ext uri="{FF2B5EF4-FFF2-40B4-BE49-F238E27FC236}">
              <a16:creationId xmlns:a16="http://schemas.microsoft.com/office/drawing/2014/main" id="{00000000-0008-0000-0100-0000E1000000}"/>
            </a:ext>
          </a:extLst>
        </xdr:cNvPr>
        <xdr:cNvPicPr/>
      </xdr:nvPicPr>
      <xdr:blipFill>
        <a:blip xmlns:r="http://schemas.openxmlformats.org/officeDocument/2006/relationships" r:embed="rId224"/>
        <a:stretch/>
      </xdr:blipFill>
      <xdr:spPr>
        <a:xfrm>
          <a:off x="6883560" y="98328600"/>
          <a:ext cx="418320" cy="418320"/>
        </a:xfrm>
        <a:prstGeom prst="rect">
          <a:avLst/>
        </a:prstGeom>
        <a:ln w="0">
          <a:noFill/>
        </a:ln>
      </xdr:spPr>
    </xdr:pic>
    <xdr:clientData/>
  </xdr:twoCellAnchor>
  <xdr:twoCellAnchor editAs="oneCell">
    <xdr:from>
      <xdr:col>7</xdr:col>
      <xdr:colOff>0</xdr:colOff>
      <xdr:row>226</xdr:row>
      <xdr:rowOff>325800</xdr:rowOff>
    </xdr:from>
    <xdr:to>
      <xdr:col>7</xdr:col>
      <xdr:colOff>418320</xdr:colOff>
      <xdr:row>227</xdr:row>
      <xdr:rowOff>306000</xdr:rowOff>
    </xdr:to>
    <xdr:pic>
      <xdr:nvPicPr>
        <xdr:cNvPr id="226" name="Image 225" descr="Picture">
          <a:extLst>
            <a:ext uri="{FF2B5EF4-FFF2-40B4-BE49-F238E27FC236}">
              <a16:creationId xmlns:a16="http://schemas.microsoft.com/office/drawing/2014/main" id="{00000000-0008-0000-0100-0000E2000000}"/>
            </a:ext>
          </a:extLst>
        </xdr:cNvPr>
        <xdr:cNvPicPr/>
      </xdr:nvPicPr>
      <xdr:blipFill>
        <a:blip xmlns:r="http://schemas.openxmlformats.org/officeDocument/2006/relationships" r:embed="rId225"/>
        <a:stretch/>
      </xdr:blipFill>
      <xdr:spPr>
        <a:xfrm>
          <a:off x="6883560" y="98766720"/>
          <a:ext cx="418320" cy="418320"/>
        </a:xfrm>
        <a:prstGeom prst="rect">
          <a:avLst/>
        </a:prstGeom>
        <a:ln w="0">
          <a:noFill/>
        </a:ln>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7"/>
  <sheetViews>
    <sheetView showGridLines="0" zoomScaleNormal="100" workbookViewId="0"/>
  </sheetViews>
  <sheetFormatPr baseColWidth="10" defaultColWidth="8.5703125" defaultRowHeight="15" x14ac:dyDescent="0.25"/>
  <cols>
    <col min="1" max="1" width="16" customWidth="1"/>
    <col min="2" max="2" width="34" customWidth="1"/>
    <col min="3" max="3" width="10" customWidth="1"/>
    <col min="4" max="4" width="3" customWidth="1"/>
    <col min="5" max="5" width="16" customWidth="1"/>
    <col min="6" max="6" width="34" customWidth="1"/>
    <col min="7" max="7" width="10" customWidth="1"/>
  </cols>
  <sheetData>
    <row r="1" spans="1:7" x14ac:dyDescent="0.25">
      <c r="A1" s="47" t="s">
        <v>0</v>
      </c>
      <c r="B1" s="47"/>
      <c r="C1" s="47"/>
      <c r="D1" s="47"/>
      <c r="E1" s="47"/>
      <c r="F1" s="47"/>
      <c r="G1" s="47"/>
    </row>
    <row r="2" spans="1:7" x14ac:dyDescent="0.25">
      <c r="A2" s="1" t="s">
        <v>1</v>
      </c>
    </row>
    <row r="3" spans="1:7" x14ac:dyDescent="0.25">
      <c r="A3" s="2" t="s">
        <v>2</v>
      </c>
      <c r="B3" s="3" t="s">
        <v>3</v>
      </c>
      <c r="E3" s="2" t="s">
        <v>2</v>
      </c>
      <c r="F3" s="3" t="s">
        <v>4</v>
      </c>
    </row>
    <row r="5" spans="1:7" x14ac:dyDescent="0.25">
      <c r="A5" s="2" t="s">
        <v>5</v>
      </c>
      <c r="B5" s="4" t="str">
        <f>INDEX('IE1'!$C$3:$C$228,MATCH($B$3,'IE1'!$A$3:$A$228,0))</f>
        <v>FW</v>
      </c>
      <c r="E5" s="2" t="s">
        <v>5</v>
      </c>
      <c r="F5" s="4" t="str">
        <f>INDEX('IE1'!$C$3:$C$228,MATCH($F$3,'IE1'!$A$3:$A$228,0))</f>
        <v>MF</v>
      </c>
    </row>
    <row r="6" spans="1:7" x14ac:dyDescent="0.25">
      <c r="A6" s="2" t="s">
        <v>6</v>
      </c>
      <c r="B6" s="4" t="str">
        <f>INDEX('IE1'!$E$3:$E$228,MATCH($B$3,'IE1'!$A$3:$A$228,0))</f>
        <v>Medium</v>
      </c>
      <c r="E6" s="2" t="s">
        <v>6</v>
      </c>
      <c r="F6" s="4" t="str">
        <f>INDEX('IE1'!$E$3:$E$228,MATCH($F$3,'IE1'!$A$3:$A$228,0))</f>
        <v>Medium</v>
      </c>
    </row>
    <row r="7" spans="1:7" x14ac:dyDescent="0.25">
      <c r="A7" s="2" t="s">
        <v>7</v>
      </c>
      <c r="B7" s="4" t="str">
        <f>INDEX('IE1'!$F$3:$F$228,MATCH($B$3,'IE1'!$A$3:$A$228,0))</f>
        <v>Fire</v>
      </c>
      <c r="E7" s="2" t="s">
        <v>7</v>
      </c>
      <c r="F7" s="4" t="str">
        <f>INDEX('IE1'!$F$3:$F$228,MATCH($F$3,'IE1'!$A$3:$A$228,0))</f>
        <v>Celestial</v>
      </c>
    </row>
    <row r="8" spans="1:7" x14ac:dyDescent="0.25">
      <c r="A8" s="2" t="s">
        <v>8</v>
      </c>
      <c r="B8" s="4" t="str">
        <f>INDEX('IE1'!$I$3:$I$228,MATCH($B$3,'IE1'!$A$3:$A$228,0))</f>
        <v>Raimon</v>
      </c>
      <c r="E8" s="2" t="s">
        <v>8</v>
      </c>
      <c r="F8" s="4" t="str">
        <f>INDEX('IE1'!$I$3:$I$228,MATCH($F$3,'IE1'!$A$3:$A$228,0))</f>
        <v>Zeus</v>
      </c>
    </row>
    <row r="9" spans="1:7" x14ac:dyDescent="0.25">
      <c r="A9" s="2" t="s">
        <v>9</v>
      </c>
      <c r="B9" s="4" t="str">
        <f>INDEX('IE1'!$J$3:$J$228,MATCH($B$3,'IE1'!$A$3:$A$228,0))</f>
        <v>Legendario</v>
      </c>
      <c r="E9" s="2" t="s">
        <v>9</v>
      </c>
      <c r="F9" s="4" t="str">
        <f>INDEX('IE1'!$J$3:$J$228,MATCH($F$3,'IE1'!$A$3:$A$228,0))</f>
        <v>Legendario</v>
      </c>
    </row>
    <row r="12" spans="1:7" ht="24" customHeight="1" x14ac:dyDescent="0.25">
      <c r="A12" s="5" t="s">
        <v>10</v>
      </c>
      <c r="B12" s="6">
        <f>MIN(1,C12/'Stats base'!B$30)</f>
        <v>0.53636363636363638</v>
      </c>
      <c r="C12" s="7">
        <f>INDEX('IE1'!$K$3:$K$228,MATCH($B$3,'IE1'!$A$3:$A$228,0))</f>
        <v>118</v>
      </c>
      <c r="E12" s="5" t="s">
        <v>10</v>
      </c>
      <c r="F12" s="6">
        <f>MIN(1,G12/'Stats base'!B$30)</f>
        <v>0.69545454545454544</v>
      </c>
      <c r="G12" s="7">
        <f>INDEX('IE1'!$K$3:$K$228,MATCH($F$3,'IE1'!$A$3:$A$228,0))</f>
        <v>153</v>
      </c>
    </row>
    <row r="13" spans="1:7" ht="24" customHeight="1" x14ac:dyDescent="0.25">
      <c r="A13" s="5" t="s">
        <v>11</v>
      </c>
      <c r="B13" s="6">
        <f>MIN(1,C13/'Stats base'!C$30)</f>
        <v>0.83200000000000007</v>
      </c>
      <c r="C13" s="8">
        <f>INDEX('IE1'!$L$3:$L$228,MATCH($B$3,'IE1'!$A$3:$A$228,0))</f>
        <v>20.8</v>
      </c>
      <c r="E13" s="5" t="s">
        <v>11</v>
      </c>
      <c r="F13" s="6">
        <f>MIN(1,G13/'Stats base'!C$30)</f>
        <v>0.84400000000000008</v>
      </c>
      <c r="G13" s="8">
        <f>INDEX('IE1'!$L$3:$L$228,MATCH($F$3,'IE1'!$A$3:$A$228,0))</f>
        <v>21.1</v>
      </c>
    </row>
    <row r="14" spans="1:7" ht="24" customHeight="1" x14ac:dyDescent="0.25">
      <c r="A14" s="5" t="s">
        <v>12</v>
      </c>
      <c r="B14" s="6">
        <f>MIN(1,C14/'Stats base'!D$30)</f>
        <v>0.85</v>
      </c>
      <c r="C14" s="8">
        <f>INDEX('IE1'!$M$3:$M$228,MATCH($B$3,'IE1'!$A$3:$A$228,0))</f>
        <v>34</v>
      </c>
      <c r="E14" s="5" t="s">
        <v>12</v>
      </c>
      <c r="F14" s="6">
        <f>MIN(1,G14/'Stats base'!D$30)</f>
        <v>0.88500000000000001</v>
      </c>
      <c r="G14" s="8">
        <f>INDEX('IE1'!$M$3:$M$228,MATCH($F$3,'IE1'!$A$3:$A$228,0))</f>
        <v>35.4</v>
      </c>
    </row>
    <row r="15" spans="1:7" ht="24" customHeight="1" x14ac:dyDescent="0.25">
      <c r="A15" s="5" t="s">
        <v>13</v>
      </c>
      <c r="B15" s="6">
        <f>MIN(1,C15/'Stats base'!E$30)</f>
        <v>0.29333333333333333</v>
      </c>
      <c r="C15" s="8">
        <f>INDEX('IE1'!$N$3:$N$228,MATCH($B$3,'IE1'!$A$3:$A$228,0))</f>
        <v>4.4000000000000004</v>
      </c>
      <c r="E15" s="5" t="s">
        <v>13</v>
      </c>
      <c r="F15" s="6">
        <f>MIN(1,G15/'Stats base'!E$30)</f>
        <v>0.46666666666666667</v>
      </c>
      <c r="G15" s="8">
        <f>INDEX('IE1'!$N$3:$N$228,MATCH($F$3,'IE1'!$A$3:$A$228,0))</f>
        <v>7</v>
      </c>
    </row>
    <row r="16" spans="1:7" ht="24" customHeight="1" x14ac:dyDescent="0.25">
      <c r="A16" s="5" t="s">
        <v>14</v>
      </c>
      <c r="B16" s="6">
        <f>MIN(1,C16/'Stats base'!F$30)</f>
        <v>0.83571428571428574</v>
      </c>
      <c r="C16" s="7">
        <f>INDEX('IE1'!$O$3:$O$228,MATCH($B$3,'IE1'!$A$3:$A$228,0))</f>
        <v>117</v>
      </c>
      <c r="E16" s="5" t="s">
        <v>14</v>
      </c>
      <c r="F16" s="6">
        <f>MIN(1,G16/'Stats base'!F$30)</f>
        <v>0.87142857142857144</v>
      </c>
      <c r="G16" s="7">
        <f>INDEX('IE1'!$O$3:$O$228,MATCH($F$3,'IE1'!$A$3:$A$228,0))</f>
        <v>122</v>
      </c>
    </row>
    <row r="17" spans="1:7" ht="24" customHeight="1" x14ac:dyDescent="0.25">
      <c r="A17" s="5" t="s">
        <v>15</v>
      </c>
      <c r="B17" s="6">
        <f>MIN(1,C17/'Stats base'!G$30)</f>
        <v>0.44999999999999996</v>
      </c>
      <c r="C17" s="9">
        <f>INDEX('IE1'!$P$3:$P$228,MATCH($B$3,'IE1'!$A$3:$A$228,0))</f>
        <v>4.4999999999999998E-2</v>
      </c>
      <c r="E17" s="5" t="s">
        <v>15</v>
      </c>
      <c r="F17" s="6">
        <f>MIN(1,G17/'Stats base'!G$30)</f>
        <v>0.90999999999999992</v>
      </c>
      <c r="G17" s="9">
        <f>INDEX('IE1'!$P$3:$P$228,MATCH($F$3,'IE1'!$A$3:$A$228,0))</f>
        <v>9.0999999999999998E-2</v>
      </c>
    </row>
  </sheetData>
  <mergeCells count="1">
    <mergeCell ref="A1:G1"/>
  </mergeCells>
  <conditionalFormatting sqref="B7">
    <cfRule type="expression" dxfId="44" priority="2">
      <formula>$B$7="Celestial"</formula>
    </cfRule>
    <cfRule type="expression" dxfId="43" priority="3">
      <formula>$B$7="Dragon"</formula>
    </cfRule>
    <cfRule type="expression" dxfId="42" priority="4">
      <formula>$B$7="Wood"</formula>
    </cfRule>
    <cfRule type="expression" dxfId="41" priority="5">
      <formula>$B$7="Air"</formula>
    </cfRule>
    <cfRule type="expression" dxfId="40" priority="6">
      <formula>$B$7="Fire"</formula>
    </cfRule>
    <cfRule type="expression" dxfId="39" priority="7">
      <formula>$B$7="Earth"</formula>
    </cfRule>
  </conditionalFormatting>
  <conditionalFormatting sqref="B9">
    <cfRule type="expression" dxfId="38" priority="8">
      <formula>$B$9="Común"</formula>
    </cfRule>
    <cfRule type="expression" dxfId="37" priority="9">
      <formula>$B$9="Poco Común"</formula>
    </cfRule>
    <cfRule type="expression" dxfId="36" priority="10">
      <formula>$B$9="Raro"</formula>
    </cfRule>
    <cfRule type="expression" dxfId="35" priority="11">
      <formula>$B$9="Épico"</formula>
    </cfRule>
    <cfRule type="expression" dxfId="34" priority="12">
      <formula>$B$9="Legendario"</formula>
    </cfRule>
  </conditionalFormatting>
  <conditionalFormatting sqref="B12:B17">
    <cfRule type="dataBar" priority="13">
      <dataBar showValue="0">
        <cfvo type="num" val="0"/>
        <cfvo type="num" val="1"/>
        <color rgb="FFFFC000"/>
      </dataBar>
      <extLst>
        <ext xmlns:x14="http://schemas.microsoft.com/office/spreadsheetml/2009/9/main" uri="{B025F937-C7B1-47D3-B67F-A62EFF666E3E}">
          <x14:id>{EC7A2D00-2620-48B7-BE16-26F521B5FC80}</x14:id>
        </ext>
      </extLst>
    </cfRule>
  </conditionalFormatting>
  <conditionalFormatting sqref="F7">
    <cfRule type="expression" dxfId="33" priority="14">
      <formula>$F$7="Celestial"</formula>
    </cfRule>
    <cfRule type="expression" dxfId="32" priority="15">
      <formula>$F$7="Dragon"</formula>
    </cfRule>
    <cfRule type="expression" dxfId="31" priority="16">
      <formula>$F$7="Wood"</formula>
    </cfRule>
    <cfRule type="expression" dxfId="30" priority="17">
      <formula>$F$7="Air"</formula>
    </cfRule>
    <cfRule type="expression" dxfId="29" priority="18">
      <formula>$F$7="Fire"</formula>
    </cfRule>
    <cfRule type="expression" dxfId="28" priority="19">
      <formula>$F$7="Earth"</formula>
    </cfRule>
  </conditionalFormatting>
  <conditionalFormatting sqref="F9">
    <cfRule type="expression" dxfId="27" priority="20">
      <formula>$F$9="Común"</formula>
    </cfRule>
    <cfRule type="expression" dxfId="26" priority="21">
      <formula>$F$9="Poco Común"</formula>
    </cfRule>
    <cfRule type="expression" dxfId="25" priority="22">
      <formula>$F$9="Raro"</formula>
    </cfRule>
    <cfRule type="expression" dxfId="24" priority="23">
      <formula>$F$9="Épico"</formula>
    </cfRule>
    <cfRule type="expression" dxfId="23" priority="24">
      <formula>$F$9="Legendario"</formula>
    </cfRule>
  </conditionalFormatting>
  <conditionalFormatting sqref="F12:F17">
    <cfRule type="dataBar" priority="25">
      <dataBar showValue="0">
        <cfvo type="num" val="0"/>
        <cfvo type="num" val="1"/>
        <color rgb="FFFFC000"/>
      </dataBar>
      <extLst>
        <ext xmlns:x14="http://schemas.microsoft.com/office/spreadsheetml/2009/9/main" uri="{B025F937-C7B1-47D3-B67F-A62EFF666E3E}">
          <x14:id>{B0C08B1B-DF28-4D20-955F-40B0DFD81B26}</x14:id>
        </ext>
      </extLst>
    </cfRule>
  </conditionalFormatting>
  <pageMargins left="0.75" right="0.75" top="1" bottom="1"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dataBar" id="{EC7A2D00-2620-48B7-BE16-26F521B5FC80}">
            <x14:dataBar axisPosition="none">
              <x14:cfvo type="num">
                <xm:f>0</xm:f>
              </x14:cfvo>
              <x14:cfvo type="num">
                <xm:f>1</xm:f>
              </x14:cfvo>
              <x14:negativeFillColor rgb="FFFFC000"/>
            </x14:dataBar>
          </x14:cfRule>
          <xm:sqref>B12:B17</xm:sqref>
        </x14:conditionalFormatting>
        <x14:conditionalFormatting xmlns:xm="http://schemas.microsoft.com/office/excel/2006/main">
          <x14:cfRule type="dataBar" id="{B0C08B1B-DF28-4D20-955F-40B0DFD81B26}">
            <x14:dataBar axisPosition="none">
              <x14:cfvo type="num">
                <xm:f>0</xm:f>
              </x14:cfvo>
              <x14:cfvo type="num">
                <xm:f>1</xm:f>
              </x14:cfvo>
              <x14:negativeFillColor rgb="FFFFC000"/>
            </x14:dataBar>
          </x14:cfRule>
          <xm:sqref>F12:F17</xm:sqref>
        </x14:conditionalFormatting>
      </x14:conditionalFormattings>
    </ext>
    <ext xmlns:x14="http://schemas.microsoft.com/office/spreadsheetml/2009/9/main" uri="{CCE6A557-97BC-4b89-ADB6-D9C93CAAB3DF}">
      <x14:dataValidations xmlns:xm="http://schemas.microsoft.com/office/excel/2006/main" count="1">
        <x14:dataValidation type="list" xr:uid="{00000000-0002-0000-0000-000000000000}">
          <x14:formula1>
            <xm:f>'IE1'!$A$3:$A$228</xm:f>
          </x14:formula1>
          <x14:formula2>
            <xm:f>0</xm:f>
          </x14:formula2>
          <xm:sqref>B3 F3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P1018"/>
  <sheetViews>
    <sheetView tabSelected="1" zoomScaleNormal="100" workbookViewId="0">
      <selection activeCell="F197" sqref="F197"/>
    </sheetView>
  </sheetViews>
  <sheetFormatPr baseColWidth="10" defaultColWidth="12.5703125" defaultRowHeight="15" x14ac:dyDescent="0.25"/>
  <cols>
    <col min="1" max="1" width="9.140625" customWidth="1"/>
    <col min="2" max="2" width="11.140625" customWidth="1"/>
    <col min="3" max="3" width="12.85546875" customWidth="1"/>
    <col min="4" max="4" width="12.28515625" customWidth="1"/>
    <col min="5" max="5" width="9.5703125" customWidth="1"/>
    <col min="6" max="6" width="13" customWidth="1"/>
    <col min="7" max="7" width="9.42578125" customWidth="1"/>
    <col min="8" max="8" width="9" customWidth="1"/>
    <col min="9" max="9" width="18" customWidth="1"/>
    <col min="10" max="10" width="13" customWidth="1"/>
    <col min="11" max="11" width="8" customWidth="1"/>
    <col min="12" max="12" width="9" customWidth="1"/>
    <col min="13" max="13" width="15" customWidth="1"/>
    <col min="14" max="14" width="9" customWidth="1"/>
    <col min="15" max="15" width="11" customWidth="1"/>
    <col min="16" max="16" width="9" customWidth="1"/>
  </cols>
  <sheetData>
    <row r="1" spans="1:16" ht="15" customHeight="1" x14ac:dyDescent="0.25">
      <c r="A1" s="45" t="s">
        <v>16</v>
      </c>
      <c r="B1" s="45"/>
      <c r="C1" s="45"/>
      <c r="D1" s="45"/>
      <c r="E1" s="45"/>
      <c r="F1" s="45"/>
      <c r="G1" s="10"/>
      <c r="H1" s="46" t="s">
        <v>17</v>
      </c>
      <c r="I1" s="46"/>
      <c r="J1" s="46"/>
      <c r="K1" s="46" t="s">
        <v>18</v>
      </c>
      <c r="L1" s="46"/>
      <c r="M1" s="46"/>
      <c r="N1" s="46"/>
      <c r="O1" s="46"/>
      <c r="P1" s="46"/>
    </row>
    <row r="2" spans="1:16" ht="27" customHeight="1" x14ac:dyDescent="0.25">
      <c r="A2" s="11" t="s">
        <v>19</v>
      </c>
      <c r="B2" s="12" t="s">
        <v>20</v>
      </c>
      <c r="C2" s="13" t="s">
        <v>21</v>
      </c>
      <c r="D2" s="13" t="s">
        <v>22</v>
      </c>
      <c r="E2" s="13" t="s">
        <v>6</v>
      </c>
      <c r="F2" s="13" t="s">
        <v>23</v>
      </c>
      <c r="G2" s="12" t="s">
        <v>24</v>
      </c>
      <c r="H2" s="12" t="s">
        <v>25</v>
      </c>
      <c r="I2" s="12" t="s">
        <v>8</v>
      </c>
      <c r="J2" s="12" t="s">
        <v>9</v>
      </c>
      <c r="K2" s="14" t="s">
        <v>10</v>
      </c>
      <c r="L2" s="14" t="s">
        <v>11</v>
      </c>
      <c r="M2" s="14" t="s">
        <v>12</v>
      </c>
      <c r="N2" s="14" t="s">
        <v>13</v>
      </c>
      <c r="O2" s="14" t="s">
        <v>14</v>
      </c>
      <c r="P2" s="14" t="s">
        <v>15</v>
      </c>
    </row>
    <row r="3" spans="1:16" ht="34.5" hidden="1" customHeight="1" x14ac:dyDescent="0.25">
      <c r="A3" s="15" t="s">
        <v>26</v>
      </c>
      <c r="B3" s="15" t="s">
        <v>27</v>
      </c>
      <c r="C3" s="16" t="s">
        <v>28</v>
      </c>
      <c r="D3" s="17" t="s">
        <v>29</v>
      </c>
      <c r="E3" s="16" t="s">
        <v>30</v>
      </c>
      <c r="F3" s="16" t="s">
        <v>31</v>
      </c>
      <c r="G3" s="18" t="s">
        <v>32</v>
      </c>
      <c r="H3" s="18"/>
      <c r="I3" s="18" t="s">
        <v>33</v>
      </c>
      <c r="J3" s="18" t="s">
        <v>34</v>
      </c>
      <c r="K3" s="19">
        <f>ROUND(INDEX('Stats base'!B$5:B$8,MATCH($C3,'Stats base'!$A$5:$A$8,0))*INDEX('Stats base'!B$12:B$14,MATCH($E3,'Stats base'!$A$12:$A$14,0))*INDEX('Stats base'!B$18:B$22,MATCH($J3,'Stats base'!$A$18:$A$22,0))*IFERROR(INDEX(Variación!C$3:C$228,MATCH($G3,Variación!$A$3:$A$228,0)),1),0)</f>
        <v>200</v>
      </c>
      <c r="L3" s="20">
        <f>ROUND(INDEX('Stats base'!C$5:C$8,MATCH($C3,'Stats base'!$A$5:$A$8,0))*INDEX('Stats base'!C$12:C$14,MATCH($E3,'Stats base'!$A$12:$A$14,0))*INDEX('Stats base'!C$18:C$22,MATCH($J3,'Stats base'!$A$18:$A$22,0))*IFERROR(INDEX(Variación!D$3:D$228,MATCH($G3,Variación!$A$3:$A$228,0)),1),1)</f>
        <v>17.7</v>
      </c>
      <c r="M3" s="20">
        <f>ROUND(INDEX('Stats base'!D$5:D$8,MATCH($C3,'Stats base'!$A$5:$A$8,0))*INDEX('Stats base'!D$12:D$14,MATCH($E3,'Stats base'!$A$12:$A$14,0))*INDEX('Stats base'!D$18:D$22,MATCH($J3,'Stats base'!$A$18:$A$22,0))*IFERROR(INDEX(Variación!E$3:E$228,MATCH($G3,Variación!$A$3:$A$228,0)),1),1)</f>
        <v>36.700000000000003</v>
      </c>
      <c r="N3" s="20">
        <f>ROUND(INDEX('Stats base'!E$5:E$8,MATCH($C3,'Stats base'!$A$5:$A$8,0))*INDEX('Stats base'!E$12:E$14,MATCH($E3,'Stats base'!$A$12:$A$14,0))*INDEX('Stats base'!E$18:E$22,MATCH($J3,'Stats base'!$A$18:$A$22,0))*IFERROR(INDEX(Variación!F$3:F$228,MATCH($G3,Variación!$A$3:$A$228,0)),1),1)</f>
        <v>12.9</v>
      </c>
      <c r="O3" s="19">
        <f>ROUND(INDEX('Stats base'!F$5:F$8,MATCH($C3,'Stats base'!$A$5:$A$8,0))*INDEX('Stats base'!F$12:F$14,MATCH($E3,'Stats base'!$A$12:$A$14,0))*INDEX('Stats base'!F$18:F$22,MATCH($J3,'Stats base'!$A$18:$A$22,0))*IFERROR(INDEX(Variación!G$3:G$228,MATCH($G3,Variación!$A$3:$A$228,0)),1),0)</f>
        <v>96</v>
      </c>
      <c r="P3" s="21">
        <f>MIN('Stats base'!$G$30,ROUND(INDEX('Stats base'!G$5:G$8,MATCH($C3,'Stats base'!$A$5:$A$8,0))*INDEX('Stats base'!G$12:G$14,MATCH($E3,'Stats base'!$A$12:$A$14,0))*INDEX('Stats base'!G$18:G$22,MATCH($J3,'Stats base'!$A$18:$A$22,0))*IFERROR(INDEX(Variación!H$3:H$228,MATCH($G3,Variación!$A$3:$A$228,0)),1),3))</f>
        <v>1.7999999999999999E-2</v>
      </c>
    </row>
    <row r="4" spans="1:16" ht="34.5" hidden="1" customHeight="1" x14ac:dyDescent="0.25">
      <c r="A4" s="15" t="s">
        <v>35</v>
      </c>
      <c r="B4" s="15" t="s">
        <v>36</v>
      </c>
      <c r="C4" s="16" t="s">
        <v>37</v>
      </c>
      <c r="D4" s="17" t="s">
        <v>29</v>
      </c>
      <c r="E4" s="16" t="s">
        <v>30</v>
      </c>
      <c r="F4" s="16" t="s">
        <v>38</v>
      </c>
      <c r="G4" s="18" t="s">
        <v>39</v>
      </c>
      <c r="H4" s="18"/>
      <c r="I4" s="18" t="s">
        <v>33</v>
      </c>
      <c r="J4" s="18" t="s">
        <v>34</v>
      </c>
      <c r="K4" s="19">
        <f>ROUND(INDEX('Stats base'!B$5:B$8,MATCH($C4,'Stats base'!$A$5:$A$8,0))*INDEX('Stats base'!B$12:B$14,MATCH($E4,'Stats base'!$A$12:$A$14,0))*INDEX('Stats base'!B$18:B$22,MATCH($J4,'Stats base'!$A$18:$A$22,0))*IFERROR(INDEX(Variación!C$3:C$228,MATCH($G4,Variación!$A$3:$A$228,0)),1),0)</f>
        <v>184</v>
      </c>
      <c r="L4" s="20">
        <f>ROUND(INDEX('Stats base'!C$5:C$8,MATCH($C4,'Stats base'!$A$5:$A$8,0))*INDEX('Stats base'!C$12:C$14,MATCH($E4,'Stats base'!$A$12:$A$14,0))*INDEX('Stats base'!C$18:C$22,MATCH($J4,'Stats base'!$A$18:$A$22,0))*IFERROR(INDEX(Variación!D$3:D$228,MATCH($G4,Variación!$A$3:$A$228,0)),1),1)</f>
        <v>11.3</v>
      </c>
      <c r="M4" s="20">
        <f>ROUND(INDEX('Stats base'!D$5:D$8,MATCH($C4,'Stats base'!$A$5:$A$8,0))*INDEX('Stats base'!D$12:D$14,MATCH($E4,'Stats base'!$A$12:$A$14,0))*INDEX('Stats base'!D$18:D$22,MATCH($J4,'Stats base'!$A$18:$A$22,0))*IFERROR(INDEX(Variación!E$3:E$228,MATCH($G4,Variación!$A$3:$A$228,0)),1),1)</f>
        <v>19.399999999999999</v>
      </c>
      <c r="N4" s="20">
        <f>ROUND(INDEX('Stats base'!E$5:E$8,MATCH($C4,'Stats base'!$A$5:$A$8,0))*INDEX('Stats base'!E$12:E$14,MATCH($E4,'Stats base'!$A$12:$A$14,0))*INDEX('Stats base'!E$18:E$22,MATCH($J4,'Stats base'!$A$18:$A$22,0))*IFERROR(INDEX(Variación!F$3:F$228,MATCH($G4,Variación!$A$3:$A$228,0)),1),1)</f>
        <v>12.4</v>
      </c>
      <c r="O4" s="19">
        <f>ROUND(INDEX('Stats base'!F$5:F$8,MATCH($C4,'Stats base'!$A$5:$A$8,0))*INDEX('Stats base'!F$12:F$14,MATCH($E4,'Stats base'!$A$12:$A$14,0))*INDEX('Stats base'!F$18:F$22,MATCH($J4,'Stats base'!$A$18:$A$22,0))*IFERROR(INDEX(Variación!G$3:G$228,MATCH($G4,Variación!$A$3:$A$228,0)),1),0)</f>
        <v>114</v>
      </c>
      <c r="P4" s="21">
        <f>MIN('Stats base'!$G$30,ROUND(INDEX('Stats base'!G$5:G$8,MATCH($C4,'Stats base'!$A$5:$A$8,0))*INDEX('Stats base'!G$12:G$14,MATCH($E4,'Stats base'!$A$12:$A$14,0))*INDEX('Stats base'!G$18:G$22,MATCH($J4,'Stats base'!$A$18:$A$22,0))*IFERROR(INDEX(Variación!H$3:H$228,MATCH($G4,Variación!$A$3:$A$228,0)),1),3))</f>
        <v>0.03</v>
      </c>
    </row>
    <row r="5" spans="1:16" ht="34.5" hidden="1" customHeight="1" x14ac:dyDescent="0.25">
      <c r="A5" s="15" t="s">
        <v>40</v>
      </c>
      <c r="B5" s="15" t="s">
        <v>41</v>
      </c>
      <c r="C5" s="16" t="s">
        <v>37</v>
      </c>
      <c r="D5" s="17" t="s">
        <v>29</v>
      </c>
      <c r="E5" s="16" t="s">
        <v>42</v>
      </c>
      <c r="F5" s="16" t="s">
        <v>43</v>
      </c>
      <c r="G5" s="18" t="s">
        <v>44</v>
      </c>
      <c r="H5" s="18"/>
      <c r="I5" s="18" t="s">
        <v>33</v>
      </c>
      <c r="J5" s="18" t="s">
        <v>45</v>
      </c>
      <c r="K5" s="19">
        <f>ROUND(INDEX('Stats base'!B$5:B$8,MATCH($C5,'Stats base'!$A$5:$A$8,0))*INDEX('Stats base'!B$12:B$14,MATCH($E5,'Stats base'!$A$12:$A$14,0))*INDEX('Stats base'!B$18:B$22,MATCH($J5,'Stats base'!$A$18:$A$22,0))*IFERROR(INDEX(Variación!C$3:C$228,MATCH($G5,Variación!$A$3:$A$228,0)),1),0)</f>
        <v>205</v>
      </c>
      <c r="L5" s="20">
        <f>ROUND(INDEX('Stats base'!C$5:C$8,MATCH($C5,'Stats base'!$A$5:$A$8,0))*INDEX('Stats base'!C$12:C$14,MATCH($E5,'Stats base'!$A$12:$A$14,0))*INDEX('Stats base'!C$18:C$22,MATCH($J5,'Stats base'!$A$18:$A$22,0))*IFERROR(INDEX(Variación!D$3:D$228,MATCH($G5,Variación!$A$3:$A$228,0)),1),1)</f>
        <v>10.1</v>
      </c>
      <c r="M5" s="20">
        <f>ROUND(INDEX('Stats base'!D$5:D$8,MATCH($C5,'Stats base'!$A$5:$A$8,0))*INDEX('Stats base'!D$12:D$14,MATCH($E5,'Stats base'!$A$12:$A$14,0))*INDEX('Stats base'!D$18:D$22,MATCH($J5,'Stats base'!$A$18:$A$22,0))*IFERROR(INDEX(Variación!E$3:E$228,MATCH($G5,Variación!$A$3:$A$228,0)),1),1)</f>
        <v>16.399999999999999</v>
      </c>
      <c r="N5" s="20">
        <f>ROUND(INDEX('Stats base'!E$5:E$8,MATCH($C5,'Stats base'!$A$5:$A$8,0))*INDEX('Stats base'!E$12:E$14,MATCH($E5,'Stats base'!$A$12:$A$14,0))*INDEX('Stats base'!E$18:E$22,MATCH($J5,'Stats base'!$A$18:$A$22,0))*IFERROR(INDEX(Variación!F$3:F$228,MATCH($G5,Variación!$A$3:$A$228,0)),1),1)</f>
        <v>13.8</v>
      </c>
      <c r="O5" s="19">
        <f>ROUND(INDEX('Stats base'!F$5:F$8,MATCH($C5,'Stats base'!$A$5:$A$8,0))*INDEX('Stats base'!F$12:F$14,MATCH($E5,'Stats base'!$A$12:$A$14,0))*INDEX('Stats base'!F$18:F$22,MATCH($J5,'Stats base'!$A$18:$A$22,0))*IFERROR(INDEX(Variación!G$3:G$228,MATCH($G5,Variación!$A$3:$A$228,0)),1),0)</f>
        <v>82</v>
      </c>
      <c r="P5" s="21">
        <f>MIN('Stats base'!$G$30,ROUND(INDEX('Stats base'!G$5:G$8,MATCH($C5,'Stats base'!$A$5:$A$8,0))*INDEX('Stats base'!G$12:G$14,MATCH($E5,'Stats base'!$A$12:$A$14,0))*INDEX('Stats base'!G$18:G$22,MATCH($J5,'Stats base'!$A$18:$A$22,0))*IFERROR(INDEX(Variación!H$3:H$228,MATCH($G5,Variación!$A$3:$A$228,0)),1),3))</f>
        <v>1.7000000000000001E-2</v>
      </c>
    </row>
    <row r="6" spans="1:16" ht="34.5" hidden="1" customHeight="1" x14ac:dyDescent="0.25">
      <c r="A6" s="15" t="s">
        <v>46</v>
      </c>
      <c r="B6" s="15" t="s">
        <v>47</v>
      </c>
      <c r="C6" s="16" t="s">
        <v>37</v>
      </c>
      <c r="D6" s="17" t="s">
        <v>29</v>
      </c>
      <c r="E6" s="16" t="s">
        <v>30</v>
      </c>
      <c r="F6" s="16" t="s">
        <v>48</v>
      </c>
      <c r="G6" s="18" t="s">
        <v>49</v>
      </c>
      <c r="H6" s="18"/>
      <c r="I6" s="18" t="s">
        <v>33</v>
      </c>
      <c r="J6" s="18" t="s">
        <v>50</v>
      </c>
      <c r="K6" s="19">
        <f>ROUND(INDEX('Stats base'!B$5:B$8,MATCH($C6,'Stats base'!$A$5:$A$8,0))*INDEX('Stats base'!B$12:B$14,MATCH($E6,'Stats base'!$A$12:$A$14,0))*INDEX('Stats base'!B$18:B$22,MATCH($J6,'Stats base'!$A$18:$A$22,0))*IFERROR(INDEX(Variación!C$3:C$228,MATCH($G6,Variación!$A$3:$A$228,0)),1),0)</f>
        <v>142</v>
      </c>
      <c r="L6" s="20">
        <f>ROUND(INDEX('Stats base'!C$5:C$8,MATCH($C6,'Stats base'!$A$5:$A$8,0))*INDEX('Stats base'!C$12:C$14,MATCH($E6,'Stats base'!$A$12:$A$14,0))*INDEX('Stats base'!C$18:C$22,MATCH($J6,'Stats base'!$A$18:$A$22,0))*IFERROR(INDEX(Variación!D$3:D$228,MATCH($G6,Variación!$A$3:$A$228,0)),1),1)</f>
        <v>7.4</v>
      </c>
      <c r="M6" s="20">
        <f>ROUND(INDEX('Stats base'!D$5:D$8,MATCH($C6,'Stats base'!$A$5:$A$8,0))*INDEX('Stats base'!D$12:D$14,MATCH($E6,'Stats base'!$A$12:$A$14,0))*INDEX('Stats base'!D$18:D$22,MATCH($J6,'Stats base'!$A$18:$A$22,0))*IFERROR(INDEX(Variación!E$3:E$228,MATCH($G6,Variación!$A$3:$A$228,0)),1),1)</f>
        <v>13.3</v>
      </c>
      <c r="N6" s="20">
        <f>ROUND(INDEX('Stats base'!E$5:E$8,MATCH($C6,'Stats base'!$A$5:$A$8,0))*INDEX('Stats base'!E$12:E$14,MATCH($E6,'Stats base'!$A$12:$A$14,0))*INDEX('Stats base'!E$18:E$22,MATCH($J6,'Stats base'!$A$18:$A$22,0))*IFERROR(INDEX(Variación!F$3:F$228,MATCH($G6,Variación!$A$3:$A$228,0)),1),1)</f>
        <v>8.1</v>
      </c>
      <c r="O6" s="19">
        <f>ROUND(INDEX('Stats base'!F$5:F$8,MATCH($C6,'Stats base'!$A$5:$A$8,0))*INDEX('Stats base'!F$12:F$14,MATCH($E6,'Stats base'!$A$12:$A$14,0))*INDEX('Stats base'!F$18:F$22,MATCH($J6,'Stats base'!$A$18:$A$22,0))*IFERROR(INDEX(Variación!G$3:G$228,MATCH($G6,Variación!$A$3:$A$228,0)),1),0)</f>
        <v>100</v>
      </c>
      <c r="P6" s="21">
        <f>MIN('Stats base'!$G$30,ROUND(INDEX('Stats base'!G$5:G$8,MATCH($C6,'Stats base'!$A$5:$A$8,0))*INDEX('Stats base'!G$12:G$14,MATCH($E6,'Stats base'!$A$12:$A$14,0))*INDEX('Stats base'!G$18:G$22,MATCH($J6,'Stats base'!$A$18:$A$22,0))*IFERROR(INDEX(Variación!H$3:H$228,MATCH($G6,Variación!$A$3:$A$228,0)),1),3))</f>
        <v>1.6E-2</v>
      </c>
    </row>
    <row r="7" spans="1:16" ht="34.5" hidden="1" customHeight="1" x14ac:dyDescent="0.25">
      <c r="A7" s="15" t="s">
        <v>51</v>
      </c>
      <c r="B7" s="15" t="s">
        <v>52</v>
      </c>
      <c r="C7" s="16" t="s">
        <v>37</v>
      </c>
      <c r="D7" s="17" t="s">
        <v>29</v>
      </c>
      <c r="E7" s="16" t="s">
        <v>53</v>
      </c>
      <c r="F7" s="16" t="s">
        <v>54</v>
      </c>
      <c r="G7" s="18" t="s">
        <v>55</v>
      </c>
      <c r="H7" s="18"/>
      <c r="I7" s="18" t="s">
        <v>33</v>
      </c>
      <c r="J7" s="18" t="s">
        <v>50</v>
      </c>
      <c r="K7" s="19">
        <f>ROUND(INDEX('Stats base'!B$5:B$8,MATCH($C7,'Stats base'!$A$5:$A$8,0))*INDEX('Stats base'!B$12:B$14,MATCH($E7,'Stats base'!$A$12:$A$14,0))*INDEX('Stats base'!B$18:B$22,MATCH($J7,'Stats base'!$A$18:$A$22,0))*IFERROR(INDEX(Variación!C$3:C$228,MATCH($G7,Variación!$A$3:$A$228,0)),1),0)</f>
        <v>137</v>
      </c>
      <c r="L7" s="20">
        <f>ROUND(INDEX('Stats base'!C$5:C$8,MATCH($C7,'Stats base'!$A$5:$A$8,0))*INDEX('Stats base'!C$12:C$14,MATCH($E7,'Stats base'!$A$12:$A$14,0))*INDEX('Stats base'!C$18:C$22,MATCH($J7,'Stats base'!$A$18:$A$22,0))*IFERROR(INDEX(Variación!D$3:D$228,MATCH($G7,Variación!$A$3:$A$228,0)),1),1)</f>
        <v>7.9</v>
      </c>
      <c r="M7" s="20">
        <f>ROUND(INDEX('Stats base'!D$5:D$8,MATCH($C7,'Stats base'!$A$5:$A$8,0))*INDEX('Stats base'!D$12:D$14,MATCH($E7,'Stats base'!$A$12:$A$14,0))*INDEX('Stats base'!D$18:D$22,MATCH($J7,'Stats base'!$A$18:$A$22,0))*IFERROR(INDEX(Variación!E$3:E$228,MATCH($G7,Variación!$A$3:$A$228,0)),1),1)</f>
        <v>12.9</v>
      </c>
      <c r="N7" s="20">
        <f>ROUND(INDEX('Stats base'!E$5:E$8,MATCH($C7,'Stats base'!$A$5:$A$8,0))*INDEX('Stats base'!E$12:E$14,MATCH($E7,'Stats base'!$A$12:$A$14,0))*INDEX('Stats base'!E$18:E$22,MATCH($J7,'Stats base'!$A$18:$A$22,0))*IFERROR(INDEX(Variación!F$3:F$228,MATCH($G7,Variación!$A$3:$A$228,0)),1),1)</f>
        <v>9.1999999999999993</v>
      </c>
      <c r="O7" s="19">
        <f>ROUND(INDEX('Stats base'!F$5:F$8,MATCH($C7,'Stats base'!$A$5:$A$8,0))*INDEX('Stats base'!F$12:F$14,MATCH($E7,'Stats base'!$A$12:$A$14,0))*INDEX('Stats base'!F$18:F$22,MATCH($J7,'Stats base'!$A$18:$A$22,0))*IFERROR(INDEX(Variación!G$3:G$228,MATCH($G7,Variación!$A$3:$A$228,0)),1),0)</f>
        <v>100</v>
      </c>
      <c r="P7" s="21">
        <f>MIN('Stats base'!$G$30,ROUND(INDEX('Stats base'!G$5:G$8,MATCH($C7,'Stats base'!$A$5:$A$8,0))*INDEX('Stats base'!G$12:G$14,MATCH($E7,'Stats base'!$A$12:$A$14,0))*INDEX('Stats base'!G$18:G$22,MATCH($J7,'Stats base'!$A$18:$A$22,0))*IFERROR(INDEX(Variación!H$3:H$228,MATCH($G7,Variación!$A$3:$A$228,0)),1),3))</f>
        <v>1.7999999999999999E-2</v>
      </c>
    </row>
    <row r="8" spans="1:16" ht="34.5" hidden="1" customHeight="1" x14ac:dyDescent="0.25">
      <c r="A8" s="15" t="s">
        <v>56</v>
      </c>
      <c r="B8" s="15" t="s">
        <v>57</v>
      </c>
      <c r="C8" s="16" t="s">
        <v>58</v>
      </c>
      <c r="D8" s="17" t="s">
        <v>29</v>
      </c>
      <c r="E8" s="16" t="s">
        <v>30</v>
      </c>
      <c r="F8" s="16" t="s">
        <v>38</v>
      </c>
      <c r="G8" s="18" t="s">
        <v>59</v>
      </c>
      <c r="H8" s="18"/>
      <c r="I8" s="18" t="s">
        <v>33</v>
      </c>
      <c r="J8" s="18" t="s">
        <v>50</v>
      </c>
      <c r="K8" s="19">
        <f>ROUND(INDEX('Stats base'!B$5:B$8,MATCH($C8,'Stats base'!$A$5:$A$8,0))*INDEX('Stats base'!B$12:B$14,MATCH($E8,'Stats base'!$A$12:$A$14,0))*INDEX('Stats base'!B$18:B$22,MATCH($J8,'Stats base'!$A$18:$A$22,0))*IFERROR(INDEX(Variación!C$3:C$228,MATCH($G8,Variación!$A$3:$A$228,0)),1),0)</f>
        <v>99</v>
      </c>
      <c r="L8" s="20">
        <f>ROUND(INDEX('Stats base'!C$5:C$8,MATCH($C8,'Stats base'!$A$5:$A$8,0))*INDEX('Stats base'!C$12:C$14,MATCH($E8,'Stats base'!$A$12:$A$14,0))*INDEX('Stats base'!C$18:C$22,MATCH($J8,'Stats base'!$A$18:$A$22,0))*IFERROR(INDEX(Variación!D$3:D$228,MATCH($G8,Variación!$A$3:$A$228,0)),1),1)</f>
        <v>11</v>
      </c>
      <c r="M8" s="20">
        <f>ROUND(INDEX('Stats base'!D$5:D$8,MATCH($C8,'Stats base'!$A$5:$A$8,0))*INDEX('Stats base'!D$12:D$14,MATCH($E8,'Stats base'!$A$12:$A$14,0))*INDEX('Stats base'!D$18:D$22,MATCH($J8,'Stats base'!$A$18:$A$22,0))*IFERROR(INDEX(Variación!E$3:E$228,MATCH($G8,Variación!$A$3:$A$228,0)),1),1)</f>
        <v>19.7</v>
      </c>
      <c r="N8" s="20">
        <f>ROUND(INDEX('Stats base'!E$5:E$8,MATCH($C8,'Stats base'!$A$5:$A$8,0))*INDEX('Stats base'!E$12:E$14,MATCH($E8,'Stats base'!$A$12:$A$14,0))*INDEX('Stats base'!E$18:E$22,MATCH($J8,'Stats base'!$A$18:$A$22,0))*IFERROR(INDEX(Variación!F$3:F$228,MATCH($G8,Variación!$A$3:$A$228,0)),1),1)</f>
        <v>4.4000000000000004</v>
      </c>
      <c r="O8" s="19">
        <f>ROUND(INDEX('Stats base'!F$5:F$8,MATCH($C8,'Stats base'!$A$5:$A$8,0))*INDEX('Stats base'!F$12:F$14,MATCH($E8,'Stats base'!$A$12:$A$14,0))*INDEX('Stats base'!F$18:F$22,MATCH($J8,'Stats base'!$A$18:$A$22,0))*IFERROR(INDEX(Variación!G$3:G$228,MATCH($G8,Variación!$A$3:$A$228,0)),1),0)</f>
        <v>110</v>
      </c>
      <c r="P8" s="21">
        <f>MIN('Stats base'!$G$30,ROUND(INDEX('Stats base'!G$5:G$8,MATCH($C8,'Stats base'!$A$5:$A$8,0))*INDEX('Stats base'!G$12:G$14,MATCH($E8,'Stats base'!$A$12:$A$14,0))*INDEX('Stats base'!G$18:G$22,MATCH($J8,'Stats base'!$A$18:$A$22,0))*IFERROR(INDEX(Variación!H$3:H$228,MATCH($G8,Variación!$A$3:$A$228,0)),1),3))</f>
        <v>4.2000000000000003E-2</v>
      </c>
    </row>
    <row r="9" spans="1:16" ht="34.5" hidden="1" customHeight="1" x14ac:dyDescent="0.25">
      <c r="A9" s="15" t="s">
        <v>60</v>
      </c>
      <c r="B9" s="15" t="s">
        <v>61</v>
      </c>
      <c r="C9" s="16" t="s">
        <v>58</v>
      </c>
      <c r="D9" s="17" t="s">
        <v>29</v>
      </c>
      <c r="E9" s="16" t="s">
        <v>53</v>
      </c>
      <c r="F9" s="16" t="s">
        <v>75</v>
      </c>
      <c r="G9" s="18" t="s">
        <v>62</v>
      </c>
      <c r="H9" s="18"/>
      <c r="I9" s="18" t="s">
        <v>33</v>
      </c>
      <c r="J9" s="18" t="s">
        <v>50</v>
      </c>
      <c r="K9" s="19">
        <f>ROUND(INDEX('Stats base'!B$5:B$8,MATCH($C9,'Stats base'!$A$5:$A$8,0))*INDEX('Stats base'!B$12:B$14,MATCH($E9,'Stats base'!$A$12:$A$14,0))*INDEX('Stats base'!B$18:B$22,MATCH($J9,'Stats base'!$A$18:$A$22,0))*IFERROR(INDEX(Variación!C$3:C$228,MATCH($G9,Variación!$A$3:$A$228,0)),1),0)</f>
        <v>90</v>
      </c>
      <c r="L9" s="20">
        <f>ROUND(INDEX('Stats base'!C$5:C$8,MATCH($C9,'Stats base'!$A$5:$A$8,0))*INDEX('Stats base'!C$12:C$14,MATCH($E9,'Stats base'!$A$12:$A$14,0))*INDEX('Stats base'!C$18:C$22,MATCH($J9,'Stats base'!$A$18:$A$22,0))*IFERROR(INDEX(Variación!D$3:D$228,MATCH($G9,Variación!$A$3:$A$228,0)),1),1)</f>
        <v>10.199999999999999</v>
      </c>
      <c r="M9" s="20">
        <f>ROUND(INDEX('Stats base'!D$5:D$8,MATCH($C9,'Stats base'!$A$5:$A$8,0))*INDEX('Stats base'!D$12:D$14,MATCH($E9,'Stats base'!$A$12:$A$14,0))*INDEX('Stats base'!D$18:D$22,MATCH($J9,'Stats base'!$A$18:$A$22,0))*IFERROR(INDEX(Variación!E$3:E$228,MATCH($G9,Variación!$A$3:$A$228,0)),1),1)</f>
        <v>17.399999999999999</v>
      </c>
      <c r="N9" s="20">
        <f>ROUND(INDEX('Stats base'!E$5:E$8,MATCH($C9,'Stats base'!$A$5:$A$8,0))*INDEX('Stats base'!E$12:E$14,MATCH($E9,'Stats base'!$A$12:$A$14,0))*INDEX('Stats base'!E$18:E$22,MATCH($J9,'Stats base'!$A$18:$A$22,0))*IFERROR(INDEX(Variación!F$3:F$228,MATCH($G9,Variación!$A$3:$A$228,0)),1),1)</f>
        <v>4.0999999999999996</v>
      </c>
      <c r="O9" s="19">
        <f>ROUND(INDEX('Stats base'!F$5:F$8,MATCH($C9,'Stats base'!$A$5:$A$8,0))*INDEX('Stats base'!F$12:F$14,MATCH($E9,'Stats base'!$A$12:$A$14,0))*INDEX('Stats base'!F$18:F$22,MATCH($J9,'Stats base'!$A$18:$A$22,0))*IFERROR(INDEX(Variación!G$3:G$228,MATCH($G9,Variación!$A$3:$A$228,0)),1),0)</f>
        <v>114</v>
      </c>
      <c r="P9" s="21">
        <f>MIN('Stats base'!$G$30,ROUND(INDEX('Stats base'!G$5:G$8,MATCH($C9,'Stats base'!$A$5:$A$8,0))*INDEX('Stats base'!G$12:G$14,MATCH($E9,'Stats base'!$A$12:$A$14,0))*INDEX('Stats base'!G$18:G$22,MATCH($J9,'Stats base'!$A$18:$A$22,0))*IFERROR(INDEX(Variación!H$3:H$228,MATCH($G9,Variación!$A$3:$A$228,0)),1),3))</f>
        <v>4.5999999999999999E-2</v>
      </c>
    </row>
    <row r="10" spans="1:16" ht="34.5" hidden="1" customHeight="1" x14ac:dyDescent="0.25">
      <c r="A10" s="15" t="s">
        <v>63</v>
      </c>
      <c r="B10" s="15" t="s">
        <v>64</v>
      </c>
      <c r="C10" s="16" t="s">
        <v>58</v>
      </c>
      <c r="D10" s="17" t="s">
        <v>29</v>
      </c>
      <c r="E10" s="16" t="s">
        <v>30</v>
      </c>
      <c r="F10" s="16" t="s">
        <v>54</v>
      </c>
      <c r="G10" s="18" t="s">
        <v>65</v>
      </c>
      <c r="H10" s="18"/>
      <c r="I10" s="18" t="s">
        <v>33</v>
      </c>
      <c r="J10" s="18" t="s">
        <v>50</v>
      </c>
      <c r="K10" s="19">
        <f>ROUND(INDEX('Stats base'!B$5:B$8,MATCH($C10,'Stats base'!$A$5:$A$8,0))*INDEX('Stats base'!B$12:B$14,MATCH($E10,'Stats base'!$A$12:$A$14,0))*INDEX('Stats base'!B$18:B$22,MATCH($J10,'Stats base'!$A$18:$A$22,0))*IFERROR(INDEX(Variación!C$3:C$228,MATCH($G10,Variación!$A$3:$A$228,0)),1),0)</f>
        <v>89</v>
      </c>
      <c r="L10" s="20">
        <f>ROUND(INDEX('Stats base'!C$5:C$8,MATCH($C10,'Stats base'!$A$5:$A$8,0))*INDEX('Stats base'!C$12:C$14,MATCH($E10,'Stats base'!$A$12:$A$14,0))*INDEX('Stats base'!C$18:C$22,MATCH($J10,'Stats base'!$A$18:$A$22,0))*IFERROR(INDEX(Variación!D$3:D$228,MATCH($G10,Variación!$A$3:$A$228,0)),1),1)</f>
        <v>10.199999999999999</v>
      </c>
      <c r="M10" s="20">
        <f>ROUND(INDEX('Stats base'!D$5:D$8,MATCH($C10,'Stats base'!$A$5:$A$8,0))*INDEX('Stats base'!D$12:D$14,MATCH($E10,'Stats base'!$A$12:$A$14,0))*INDEX('Stats base'!D$18:D$22,MATCH($J10,'Stats base'!$A$18:$A$22,0))*IFERROR(INDEX(Variación!E$3:E$228,MATCH($G10,Variación!$A$3:$A$228,0)),1),1)</f>
        <v>16.3</v>
      </c>
      <c r="N10" s="20">
        <f>ROUND(INDEX('Stats base'!E$5:E$8,MATCH($C10,'Stats base'!$A$5:$A$8,0))*INDEX('Stats base'!E$12:E$14,MATCH($E10,'Stats base'!$A$12:$A$14,0))*INDEX('Stats base'!E$18:E$22,MATCH($J10,'Stats base'!$A$18:$A$22,0))*IFERROR(INDEX(Variación!F$3:F$228,MATCH($G10,Variación!$A$3:$A$228,0)),1),1)</f>
        <v>4.0999999999999996</v>
      </c>
      <c r="O10" s="19">
        <f>ROUND(INDEX('Stats base'!F$5:F$8,MATCH($C10,'Stats base'!$A$5:$A$8,0))*INDEX('Stats base'!F$12:F$14,MATCH($E10,'Stats base'!$A$12:$A$14,0))*INDEX('Stats base'!F$18:F$22,MATCH($J10,'Stats base'!$A$18:$A$22,0))*IFERROR(INDEX(Variación!G$3:G$228,MATCH($G10,Variación!$A$3:$A$228,0)),1),0)</f>
        <v>111</v>
      </c>
      <c r="P10" s="21">
        <f>MIN('Stats base'!$G$30,ROUND(INDEX('Stats base'!G$5:G$8,MATCH($C10,'Stats base'!$A$5:$A$8,0))*INDEX('Stats base'!G$12:G$14,MATCH($E10,'Stats base'!$A$12:$A$14,0))*INDEX('Stats base'!G$18:G$22,MATCH($J10,'Stats base'!$A$18:$A$22,0))*IFERROR(INDEX(Variación!H$3:H$228,MATCH($G10,Variación!$A$3:$A$228,0)),1),3))</f>
        <v>4.5999999999999999E-2</v>
      </c>
    </row>
    <row r="11" spans="1:16" ht="34.5" hidden="1" customHeight="1" x14ac:dyDescent="0.25">
      <c r="A11" s="15" t="s">
        <v>66</v>
      </c>
      <c r="B11" s="15" t="s">
        <v>67</v>
      </c>
      <c r="C11" s="16" t="s">
        <v>68</v>
      </c>
      <c r="D11" s="17" t="s">
        <v>29</v>
      </c>
      <c r="E11" s="16" t="s">
        <v>30</v>
      </c>
      <c r="F11" s="16" t="s">
        <v>38</v>
      </c>
      <c r="G11" s="18" t="s">
        <v>69</v>
      </c>
      <c r="H11" s="18"/>
      <c r="I11" s="18" t="s">
        <v>33</v>
      </c>
      <c r="J11" s="18" t="s">
        <v>70</v>
      </c>
      <c r="K11" s="19">
        <f>ROUND(INDEX('Stats base'!B$5:B$8,MATCH($C11,'Stats base'!$A$5:$A$8,0))*INDEX('Stats base'!B$12:B$14,MATCH($E11,'Stats base'!$A$12:$A$14,0))*INDEX('Stats base'!B$18:B$22,MATCH($J11,'Stats base'!$A$18:$A$22,0))*IFERROR(INDEX(Variación!C$3:C$228,MATCH($G11,Variación!$A$3:$A$228,0)),1),0)</f>
        <v>102</v>
      </c>
      <c r="L11" s="20">
        <f>ROUND(INDEX('Stats base'!C$5:C$8,MATCH($C11,'Stats base'!$A$5:$A$8,0))*INDEX('Stats base'!C$12:C$14,MATCH($E11,'Stats base'!$A$12:$A$14,0))*INDEX('Stats base'!C$18:C$22,MATCH($J11,'Stats base'!$A$18:$A$22,0))*IFERROR(INDEX(Variación!D$3:D$228,MATCH($G11,Variación!$A$3:$A$228,0)),1),1)</f>
        <v>15.3</v>
      </c>
      <c r="M11" s="20">
        <f>ROUND(INDEX('Stats base'!D$5:D$8,MATCH($C11,'Stats base'!$A$5:$A$8,0))*INDEX('Stats base'!D$12:D$14,MATCH($E11,'Stats base'!$A$12:$A$14,0))*INDEX('Stats base'!D$18:D$22,MATCH($J11,'Stats base'!$A$18:$A$22,0))*IFERROR(INDEX(Variación!E$3:E$228,MATCH($G11,Variación!$A$3:$A$228,0)),1),1)</f>
        <v>23</v>
      </c>
      <c r="N11" s="20">
        <f>ROUND(INDEX('Stats base'!E$5:E$8,MATCH($C11,'Stats base'!$A$5:$A$8,0))*INDEX('Stats base'!E$12:E$14,MATCH($E11,'Stats base'!$A$12:$A$14,0))*INDEX('Stats base'!E$18:E$22,MATCH($J11,'Stats base'!$A$18:$A$22,0))*IFERROR(INDEX(Variación!F$3:F$228,MATCH($G11,Variación!$A$3:$A$228,0)),1),1)</f>
        <v>3.9</v>
      </c>
      <c r="O11" s="19">
        <f>ROUND(INDEX('Stats base'!F$5:F$8,MATCH($C11,'Stats base'!$A$5:$A$8,0))*INDEX('Stats base'!F$12:F$14,MATCH($E11,'Stats base'!$A$12:$A$14,0))*INDEX('Stats base'!F$18:F$22,MATCH($J11,'Stats base'!$A$18:$A$22,0))*IFERROR(INDEX(Variación!G$3:G$228,MATCH($G11,Variación!$A$3:$A$228,0)),1),0)</f>
        <v>107</v>
      </c>
      <c r="P11" s="21">
        <f>MIN('Stats base'!$G$30,ROUND(INDEX('Stats base'!G$5:G$8,MATCH($C11,'Stats base'!$A$5:$A$8,0))*INDEX('Stats base'!G$12:G$14,MATCH($E11,'Stats base'!$A$12:$A$14,0))*INDEX('Stats base'!G$18:G$22,MATCH($J11,'Stats base'!$A$18:$A$22,0))*IFERROR(INDEX(Variación!H$3:H$228,MATCH($G11,Variación!$A$3:$A$228,0)),1),3))</f>
        <v>3.1E-2</v>
      </c>
    </row>
    <row r="12" spans="1:16" ht="34.5" hidden="1" customHeight="1" x14ac:dyDescent="0.25">
      <c r="A12" s="15" t="s">
        <v>3</v>
      </c>
      <c r="B12" s="15" t="s">
        <v>71</v>
      </c>
      <c r="C12" s="16" t="s">
        <v>68</v>
      </c>
      <c r="D12" s="17" t="s">
        <v>29</v>
      </c>
      <c r="E12" s="16" t="s">
        <v>30</v>
      </c>
      <c r="F12" s="16" t="s">
        <v>54</v>
      </c>
      <c r="G12" s="18" t="s">
        <v>72</v>
      </c>
      <c r="H12" s="18"/>
      <c r="I12" s="18" t="s">
        <v>33</v>
      </c>
      <c r="J12" s="18" t="s">
        <v>34</v>
      </c>
      <c r="K12" s="19">
        <f>ROUND(INDEX('Stats base'!B$5:B$8,MATCH($C12,'Stats base'!$A$5:$A$8,0))*INDEX('Stats base'!B$12:B$14,MATCH($E12,'Stats base'!$A$12:$A$14,0))*INDEX('Stats base'!B$18:B$22,MATCH($J12,'Stats base'!$A$18:$A$22,0))*IFERROR(INDEX(Variación!C$3:C$228,MATCH($G12,Variación!$A$3:$A$228,0)),1),0)</f>
        <v>118</v>
      </c>
      <c r="L12" s="20">
        <f>ROUND(INDEX('Stats base'!C$5:C$8,MATCH($C12,'Stats base'!$A$5:$A$8,0))*INDEX('Stats base'!C$12:C$14,MATCH($E12,'Stats base'!$A$12:$A$14,0))*INDEX('Stats base'!C$18:C$22,MATCH($J12,'Stats base'!$A$18:$A$22,0))*IFERROR(INDEX(Variación!D$3:D$228,MATCH($G12,Variación!$A$3:$A$228,0)),1),1)</f>
        <v>20.8</v>
      </c>
      <c r="M12" s="20">
        <f>ROUND(INDEX('Stats base'!D$5:D$8,MATCH($C12,'Stats base'!$A$5:$A$8,0))*INDEX('Stats base'!D$12:D$14,MATCH($E12,'Stats base'!$A$12:$A$14,0))*INDEX('Stats base'!D$18:D$22,MATCH($J12,'Stats base'!$A$18:$A$22,0))*IFERROR(INDEX(Variación!E$3:E$228,MATCH($G12,Variación!$A$3:$A$228,0)),1),1)</f>
        <v>34</v>
      </c>
      <c r="N12" s="20">
        <f>ROUND(INDEX('Stats base'!E$5:E$8,MATCH($C12,'Stats base'!$A$5:$A$8,0))*INDEX('Stats base'!E$12:E$14,MATCH($E12,'Stats base'!$A$12:$A$14,0))*INDEX('Stats base'!E$18:E$22,MATCH($J12,'Stats base'!$A$18:$A$22,0))*IFERROR(INDEX(Variación!F$3:F$228,MATCH($G12,Variación!$A$3:$A$228,0)),1),1)</f>
        <v>4.4000000000000004</v>
      </c>
      <c r="O12" s="19">
        <f>ROUND(INDEX('Stats base'!F$5:F$8,MATCH($C12,'Stats base'!$A$5:$A$8,0))*INDEX('Stats base'!F$12:F$14,MATCH($E12,'Stats base'!$A$12:$A$14,0))*INDEX('Stats base'!F$18:F$22,MATCH($J12,'Stats base'!$A$18:$A$22,0))*IFERROR(INDEX(Variación!G$3:G$228,MATCH($G12,Variación!$A$3:$A$228,0)),1),0)</f>
        <v>117</v>
      </c>
      <c r="P12" s="21">
        <f>MIN('Stats base'!$G$30,ROUND(INDEX('Stats base'!G$5:G$8,MATCH($C12,'Stats base'!$A$5:$A$8,0))*INDEX('Stats base'!G$12:G$14,MATCH($E12,'Stats base'!$A$12:$A$14,0))*INDEX('Stats base'!G$18:G$22,MATCH($J12,'Stats base'!$A$18:$A$22,0))*IFERROR(INDEX(Variación!H$3:H$228,MATCH($G12,Variación!$A$3:$A$228,0)),1),3))</f>
        <v>4.4999999999999998E-2</v>
      </c>
    </row>
    <row r="13" spans="1:16" ht="34.5" hidden="1" customHeight="1" x14ac:dyDescent="0.25">
      <c r="A13" s="15" t="s">
        <v>73</v>
      </c>
      <c r="B13" s="15" t="s">
        <v>74</v>
      </c>
      <c r="C13" s="16" t="s">
        <v>68</v>
      </c>
      <c r="D13" s="17" t="s">
        <v>29</v>
      </c>
      <c r="E13" s="16" t="s">
        <v>30</v>
      </c>
      <c r="F13" s="16" t="s">
        <v>75</v>
      </c>
      <c r="G13" s="18" t="s">
        <v>76</v>
      </c>
      <c r="H13" s="18"/>
      <c r="I13" s="18" t="s">
        <v>33</v>
      </c>
      <c r="J13" s="18" t="s">
        <v>45</v>
      </c>
      <c r="K13" s="19">
        <f>ROUND(INDEX('Stats base'!B$5:B$8,MATCH($C13,'Stats base'!$A$5:$A$8,0))*INDEX('Stats base'!B$12:B$14,MATCH($E13,'Stats base'!$A$12:$A$14,0))*INDEX('Stats base'!B$18:B$22,MATCH($J13,'Stats base'!$A$18:$A$22,0))*IFERROR(INDEX(Variación!C$3:C$228,MATCH($G13,Variación!$A$3:$A$228,0)),1),0)</f>
        <v>105</v>
      </c>
      <c r="L13" s="20">
        <f>ROUND(INDEX('Stats base'!C$5:C$8,MATCH($C13,'Stats base'!$A$5:$A$8,0))*INDEX('Stats base'!C$12:C$14,MATCH($E13,'Stats base'!$A$12:$A$14,0))*INDEX('Stats base'!C$18:C$22,MATCH($J13,'Stats base'!$A$18:$A$22,0))*IFERROR(INDEX(Variación!D$3:D$228,MATCH($G13,Variación!$A$3:$A$228,0)),1),1)</f>
        <v>18.3</v>
      </c>
      <c r="M13" s="20">
        <f>ROUND(INDEX('Stats base'!D$5:D$8,MATCH($C13,'Stats base'!$A$5:$A$8,0))*INDEX('Stats base'!D$12:D$14,MATCH($E13,'Stats base'!$A$12:$A$14,0))*INDEX('Stats base'!D$18:D$22,MATCH($J13,'Stats base'!$A$18:$A$22,0))*IFERROR(INDEX(Variación!E$3:E$228,MATCH($G13,Variación!$A$3:$A$228,0)),1),1)</f>
        <v>29.6</v>
      </c>
      <c r="N13" s="20">
        <f>ROUND(INDEX('Stats base'!E$5:E$8,MATCH($C13,'Stats base'!$A$5:$A$8,0))*INDEX('Stats base'!E$12:E$14,MATCH($E13,'Stats base'!$A$12:$A$14,0))*INDEX('Stats base'!E$18:E$22,MATCH($J13,'Stats base'!$A$18:$A$22,0))*IFERROR(INDEX(Variación!F$3:F$228,MATCH($G13,Variación!$A$3:$A$228,0)),1),1)</f>
        <v>3.9</v>
      </c>
      <c r="O13" s="19">
        <f>ROUND(INDEX('Stats base'!F$5:F$8,MATCH($C13,'Stats base'!$A$5:$A$8,0))*INDEX('Stats base'!F$12:F$14,MATCH($E13,'Stats base'!$A$12:$A$14,0))*INDEX('Stats base'!F$18:F$22,MATCH($J13,'Stats base'!$A$18:$A$22,0))*IFERROR(INDEX(Variación!G$3:G$228,MATCH($G13,Variación!$A$3:$A$228,0)),1),0)</f>
        <v>117</v>
      </c>
      <c r="P13" s="21">
        <f>MIN('Stats base'!$G$30,ROUND(INDEX('Stats base'!G$5:G$8,MATCH($C13,'Stats base'!$A$5:$A$8,0))*INDEX('Stats base'!G$12:G$14,MATCH($E13,'Stats base'!$A$12:$A$14,0))*INDEX('Stats base'!G$18:G$22,MATCH($J13,'Stats base'!$A$18:$A$22,0))*IFERROR(INDEX(Variación!H$3:H$228,MATCH($G13,Variación!$A$3:$A$228,0)),1),3))</f>
        <v>3.9E-2</v>
      </c>
    </row>
    <row r="14" spans="1:16" ht="34.5" hidden="1" customHeight="1" x14ac:dyDescent="0.25">
      <c r="A14" s="15" t="s">
        <v>77</v>
      </c>
      <c r="B14" s="15" t="s">
        <v>78</v>
      </c>
      <c r="C14" s="16" t="s">
        <v>68</v>
      </c>
      <c r="D14" s="17" t="s">
        <v>29</v>
      </c>
      <c r="E14" s="16" t="s">
        <v>30</v>
      </c>
      <c r="F14" s="16" t="s">
        <v>31</v>
      </c>
      <c r="G14" s="18" t="s">
        <v>79</v>
      </c>
      <c r="H14" s="18"/>
      <c r="I14" s="18" t="s">
        <v>33</v>
      </c>
      <c r="J14" s="18" t="s">
        <v>70</v>
      </c>
      <c r="K14" s="19">
        <f>ROUND(INDEX('Stats base'!B$5:B$8,MATCH($C14,'Stats base'!$A$5:$A$8,0))*INDEX('Stats base'!B$12:B$14,MATCH($E14,'Stats base'!$A$12:$A$14,0))*INDEX('Stats base'!B$18:B$22,MATCH($J14,'Stats base'!$A$18:$A$22,0))*IFERROR(INDEX(Variación!C$3:C$228,MATCH($G14,Variación!$A$3:$A$228,0)),1),0)</f>
        <v>83</v>
      </c>
      <c r="L14" s="20">
        <f>ROUND(INDEX('Stats base'!C$5:C$8,MATCH($C14,'Stats base'!$A$5:$A$8,0))*INDEX('Stats base'!C$12:C$14,MATCH($E14,'Stats base'!$A$12:$A$14,0))*INDEX('Stats base'!C$18:C$22,MATCH($J14,'Stats base'!$A$18:$A$22,0))*IFERROR(INDEX(Variación!D$3:D$228,MATCH($G14,Variación!$A$3:$A$228,0)),1),1)</f>
        <v>14</v>
      </c>
      <c r="M14" s="20">
        <f>ROUND(INDEX('Stats base'!D$5:D$8,MATCH($C14,'Stats base'!$A$5:$A$8,0))*INDEX('Stats base'!D$12:D$14,MATCH($E14,'Stats base'!$A$12:$A$14,0))*INDEX('Stats base'!D$18:D$22,MATCH($J14,'Stats base'!$A$18:$A$22,0))*IFERROR(INDEX(Variación!E$3:E$228,MATCH($G14,Variación!$A$3:$A$228,0)),1),1)</f>
        <v>24.5</v>
      </c>
      <c r="N14" s="20">
        <f>ROUND(INDEX('Stats base'!E$5:E$8,MATCH($C14,'Stats base'!$A$5:$A$8,0))*INDEX('Stats base'!E$12:E$14,MATCH($E14,'Stats base'!$A$12:$A$14,0))*INDEX('Stats base'!E$18:E$22,MATCH($J14,'Stats base'!$A$18:$A$22,0))*IFERROR(INDEX(Variación!F$3:F$228,MATCH($G14,Variación!$A$3:$A$228,0)),1),1)</f>
        <v>3.1</v>
      </c>
      <c r="O14" s="19">
        <f>ROUND(INDEX('Stats base'!F$5:F$8,MATCH($C14,'Stats base'!$A$5:$A$8,0))*INDEX('Stats base'!F$12:F$14,MATCH($E14,'Stats base'!$A$12:$A$14,0))*INDEX('Stats base'!F$18:F$22,MATCH($J14,'Stats base'!$A$18:$A$22,0))*IFERROR(INDEX(Variación!G$3:G$228,MATCH($G14,Variación!$A$3:$A$228,0)),1),0)</f>
        <v>120</v>
      </c>
      <c r="P14" s="21">
        <f>MIN('Stats base'!$G$30,ROUND(INDEX('Stats base'!G$5:G$8,MATCH($C14,'Stats base'!$A$5:$A$8,0))*INDEX('Stats base'!G$12:G$14,MATCH($E14,'Stats base'!$A$12:$A$14,0))*INDEX('Stats base'!G$18:G$22,MATCH($J14,'Stats base'!$A$18:$A$22,0))*IFERROR(INDEX(Variación!H$3:H$228,MATCH($G14,Variación!$A$3:$A$228,0)),1),3))</f>
        <v>3.4000000000000002E-2</v>
      </c>
    </row>
    <row r="15" spans="1:16" ht="34.5" customHeight="1" x14ac:dyDescent="0.25">
      <c r="A15" s="15" t="s">
        <v>80</v>
      </c>
      <c r="B15" s="15" t="s">
        <v>81</v>
      </c>
      <c r="C15" s="16" t="s">
        <v>37</v>
      </c>
      <c r="D15" s="22" t="s">
        <v>82</v>
      </c>
      <c r="E15" s="16" t="s">
        <v>30</v>
      </c>
      <c r="F15" s="16" t="s">
        <v>48</v>
      </c>
      <c r="G15" s="18" t="s">
        <v>83</v>
      </c>
      <c r="H15" s="18"/>
      <c r="I15" s="18" t="s">
        <v>84</v>
      </c>
      <c r="J15" s="18" t="s">
        <v>85</v>
      </c>
      <c r="K15" s="19">
        <f>ROUND(INDEX('Stats base'!B$5:B$8,MATCH($C15,'Stats base'!$A$5:$A$8,0))*INDEX('Stats base'!B$12:B$14,MATCH($E15,'Stats base'!$A$12:$A$14,0))*INDEX('Stats base'!B$18:B$22,MATCH($J15,'Stats base'!$A$18:$A$22,0))*IFERROR(INDEX(Variación!C$3:C$228,MATCH($G15,Variación!$A$3:$A$228,0)),1),0)</f>
        <v>129</v>
      </c>
      <c r="L15" s="20">
        <f>ROUND(INDEX('Stats base'!C$5:C$8,MATCH($C15,'Stats base'!$A$5:$A$8,0))*INDEX('Stats base'!C$12:C$14,MATCH($E15,'Stats base'!$A$12:$A$14,0))*INDEX('Stats base'!C$18:C$22,MATCH($J15,'Stats base'!$A$18:$A$22,0))*IFERROR(INDEX(Variación!D$3:D$228,MATCH($G15,Variación!$A$3:$A$228,0)),1),1)</f>
        <v>6.7</v>
      </c>
      <c r="M15" s="20">
        <f>ROUND(INDEX('Stats base'!D$5:D$8,MATCH($C15,'Stats base'!$A$5:$A$8,0))*INDEX('Stats base'!D$12:D$14,MATCH($E15,'Stats base'!$A$12:$A$14,0))*INDEX('Stats base'!D$18:D$22,MATCH($J15,'Stats base'!$A$18:$A$22,0))*IFERROR(INDEX(Variación!E$3:E$228,MATCH($G15,Variación!$A$3:$A$228,0)),1),1)</f>
        <v>11.6</v>
      </c>
      <c r="N15" s="20">
        <f>ROUND(INDEX('Stats base'!E$5:E$8,MATCH($C15,'Stats base'!$A$5:$A$8,0))*INDEX('Stats base'!E$12:E$14,MATCH($E15,'Stats base'!$A$12:$A$14,0))*INDEX('Stats base'!E$18:E$22,MATCH($J15,'Stats base'!$A$18:$A$22,0))*IFERROR(INDEX(Variación!F$3:F$228,MATCH($G15,Variación!$A$3:$A$228,0)),1),1)</f>
        <v>8.1999999999999993</v>
      </c>
      <c r="O15" s="19">
        <f>ROUND(INDEX('Stats base'!F$5:F$8,MATCH($C15,'Stats base'!$A$5:$A$8,0))*INDEX('Stats base'!F$12:F$14,MATCH($E15,'Stats base'!$A$12:$A$14,0))*INDEX('Stats base'!F$18:F$22,MATCH($J15,'Stats base'!$A$18:$A$22,0))*IFERROR(INDEX(Variación!G$3:G$228,MATCH($G15,Variación!$A$3:$A$228,0)),1),0)</f>
        <v>90</v>
      </c>
      <c r="P15" s="21">
        <f>MIN('Stats base'!$G$30,ROUND(INDEX('Stats base'!G$5:G$8,MATCH($C15,'Stats base'!$A$5:$A$8,0))*INDEX('Stats base'!G$12:G$14,MATCH($E15,'Stats base'!$A$12:$A$14,0))*INDEX('Stats base'!G$18:G$22,MATCH($J15,'Stats base'!$A$18:$A$22,0))*IFERROR(INDEX(Variación!H$3:H$228,MATCH($G15,Variación!$A$3:$A$228,0)),1),3))</f>
        <v>1.2E-2</v>
      </c>
    </row>
    <row r="16" spans="1:16" ht="34.5" hidden="1" customHeight="1" x14ac:dyDescent="0.25">
      <c r="A16" s="15" t="s">
        <v>86</v>
      </c>
      <c r="B16" s="15" t="s">
        <v>87</v>
      </c>
      <c r="C16" s="16" t="s">
        <v>28</v>
      </c>
      <c r="D16" s="17" t="s">
        <v>29</v>
      </c>
      <c r="E16" s="16" t="s">
        <v>42</v>
      </c>
      <c r="F16" s="16" t="s">
        <v>31</v>
      </c>
      <c r="G16" s="18" t="s">
        <v>88</v>
      </c>
      <c r="H16" s="18"/>
      <c r="I16" s="18" t="s">
        <v>89</v>
      </c>
      <c r="J16" s="18" t="s">
        <v>45</v>
      </c>
      <c r="K16" s="19">
        <f>ROUND(INDEX('Stats base'!B$5:B$8,MATCH($C16,'Stats base'!$A$5:$A$8,0))*INDEX('Stats base'!B$12:B$14,MATCH($E16,'Stats base'!$A$12:$A$14,0))*INDEX('Stats base'!B$18:B$22,MATCH($J16,'Stats base'!$A$18:$A$22,0))*IFERROR(INDEX(Variación!C$3:C$228,MATCH($G16,Variación!$A$3:$A$228,0)),1),0)</f>
        <v>164</v>
      </c>
      <c r="L16" s="20">
        <f>ROUND(INDEX('Stats base'!C$5:C$8,MATCH($C16,'Stats base'!$A$5:$A$8,0))*INDEX('Stats base'!C$12:C$14,MATCH($E16,'Stats base'!$A$12:$A$14,0))*INDEX('Stats base'!C$18:C$22,MATCH($J16,'Stats base'!$A$18:$A$22,0))*IFERROR(INDEX(Variación!D$3:D$228,MATCH($G16,Variación!$A$3:$A$228,0)),1),1)</f>
        <v>11.7</v>
      </c>
      <c r="M16" s="20">
        <f>ROUND(INDEX('Stats base'!D$5:D$8,MATCH($C16,'Stats base'!$A$5:$A$8,0))*INDEX('Stats base'!D$12:D$14,MATCH($E16,'Stats base'!$A$12:$A$14,0))*INDEX('Stats base'!D$18:D$22,MATCH($J16,'Stats base'!$A$18:$A$22,0))*IFERROR(INDEX(Variación!E$3:E$228,MATCH($G16,Variación!$A$3:$A$228,0)),1),1)</f>
        <v>25.8</v>
      </c>
      <c r="N16" s="20">
        <f>ROUND(INDEX('Stats base'!E$5:E$8,MATCH($C16,'Stats base'!$A$5:$A$8,0))*INDEX('Stats base'!E$12:E$14,MATCH($E16,'Stats base'!$A$12:$A$14,0))*INDEX('Stats base'!E$18:E$22,MATCH($J16,'Stats base'!$A$18:$A$22,0))*IFERROR(INDEX(Variación!F$3:F$228,MATCH($G16,Variación!$A$3:$A$228,0)),1),1)</f>
        <v>10.7</v>
      </c>
      <c r="O16" s="19">
        <f>ROUND(INDEX('Stats base'!F$5:F$8,MATCH($C16,'Stats base'!$A$5:$A$8,0))*INDEX('Stats base'!F$12:F$14,MATCH($E16,'Stats base'!$A$12:$A$14,0))*INDEX('Stats base'!F$18:F$22,MATCH($J16,'Stats base'!$A$18:$A$22,0))*IFERROR(INDEX(Variación!G$3:G$228,MATCH($G16,Variación!$A$3:$A$228,0)),1),0)</f>
        <v>84</v>
      </c>
      <c r="P16" s="21">
        <f>MIN('Stats base'!$G$30,ROUND(INDEX('Stats base'!G$5:G$8,MATCH($C16,'Stats base'!$A$5:$A$8,0))*INDEX('Stats base'!G$12:G$14,MATCH($E16,'Stats base'!$A$12:$A$14,0))*INDEX('Stats base'!G$18:G$22,MATCH($J16,'Stats base'!$A$18:$A$22,0))*IFERROR(INDEX(Variación!H$3:H$228,MATCH($G16,Variación!$A$3:$A$228,0)),1),3))</f>
        <v>1.2999999999999999E-2</v>
      </c>
    </row>
    <row r="17" spans="1:16" ht="34.5" hidden="1" customHeight="1" x14ac:dyDescent="0.25">
      <c r="A17" s="15" t="s">
        <v>90</v>
      </c>
      <c r="B17" s="15" t="s">
        <v>91</v>
      </c>
      <c r="C17" s="16" t="s">
        <v>37</v>
      </c>
      <c r="D17" s="17" t="s">
        <v>29</v>
      </c>
      <c r="E17" s="16" t="s">
        <v>30</v>
      </c>
      <c r="F17" s="16" t="s">
        <v>48</v>
      </c>
      <c r="G17" s="18" t="s">
        <v>92</v>
      </c>
      <c r="H17" s="18"/>
      <c r="I17" s="18" t="s">
        <v>89</v>
      </c>
      <c r="J17" s="18" t="s">
        <v>50</v>
      </c>
      <c r="K17" s="19">
        <f>ROUND(INDEX('Stats base'!B$5:B$8,MATCH($C17,'Stats base'!$A$5:$A$8,0))*INDEX('Stats base'!B$12:B$14,MATCH($E17,'Stats base'!$A$12:$A$14,0))*INDEX('Stats base'!B$18:B$22,MATCH($J17,'Stats base'!$A$18:$A$22,0))*IFERROR(INDEX(Variación!C$3:C$228,MATCH($G17,Variación!$A$3:$A$228,0)),1),0)</f>
        <v>136</v>
      </c>
      <c r="L17" s="20">
        <f>ROUND(INDEX('Stats base'!C$5:C$8,MATCH($C17,'Stats base'!$A$5:$A$8,0))*INDEX('Stats base'!C$12:C$14,MATCH($E17,'Stats base'!$A$12:$A$14,0))*INDEX('Stats base'!C$18:C$22,MATCH($J17,'Stats base'!$A$18:$A$22,0))*IFERROR(INDEX(Variación!D$3:D$228,MATCH($G17,Variación!$A$3:$A$228,0)),1),1)</f>
        <v>7.8</v>
      </c>
      <c r="M17" s="20">
        <f>ROUND(INDEX('Stats base'!D$5:D$8,MATCH($C17,'Stats base'!$A$5:$A$8,0))*INDEX('Stats base'!D$12:D$14,MATCH($E17,'Stats base'!$A$12:$A$14,0))*INDEX('Stats base'!D$18:D$22,MATCH($J17,'Stats base'!$A$18:$A$22,0))*IFERROR(INDEX(Variación!E$3:E$228,MATCH($G17,Variación!$A$3:$A$228,0)),1),1)</f>
        <v>13.3</v>
      </c>
      <c r="N17" s="20">
        <f>ROUND(INDEX('Stats base'!E$5:E$8,MATCH($C17,'Stats base'!$A$5:$A$8,0))*INDEX('Stats base'!E$12:E$14,MATCH($E17,'Stats base'!$A$12:$A$14,0))*INDEX('Stats base'!E$18:E$22,MATCH($J17,'Stats base'!$A$18:$A$22,0))*IFERROR(INDEX(Variación!F$3:F$228,MATCH($G17,Variación!$A$3:$A$228,0)),1),1)</f>
        <v>8.6</v>
      </c>
      <c r="O17" s="19">
        <f>ROUND(INDEX('Stats base'!F$5:F$8,MATCH($C17,'Stats base'!$A$5:$A$8,0))*INDEX('Stats base'!F$12:F$14,MATCH($E17,'Stats base'!$A$12:$A$14,0))*INDEX('Stats base'!F$18:F$22,MATCH($J17,'Stats base'!$A$18:$A$22,0))*IFERROR(INDEX(Variación!G$3:G$228,MATCH($G17,Variación!$A$3:$A$228,0)),1),0)</f>
        <v>90</v>
      </c>
      <c r="P17" s="21">
        <f>MIN('Stats base'!$G$30,ROUND(INDEX('Stats base'!G$5:G$8,MATCH($C17,'Stats base'!$A$5:$A$8,0))*INDEX('Stats base'!G$12:G$14,MATCH($E17,'Stats base'!$A$12:$A$14,0))*INDEX('Stats base'!G$18:G$22,MATCH($J17,'Stats base'!$A$18:$A$22,0))*IFERROR(INDEX(Variación!H$3:H$228,MATCH($G17,Variación!$A$3:$A$228,0)),1),3))</f>
        <v>1.4999999999999999E-2</v>
      </c>
    </row>
    <row r="18" spans="1:16" ht="34.5" customHeight="1" x14ac:dyDescent="0.25">
      <c r="A18" s="15" t="s">
        <v>93</v>
      </c>
      <c r="B18" s="15" t="s">
        <v>94</v>
      </c>
      <c r="C18" s="16" t="s">
        <v>37</v>
      </c>
      <c r="D18" s="17" t="s">
        <v>29</v>
      </c>
      <c r="E18" s="16" t="s">
        <v>53</v>
      </c>
      <c r="F18" s="16" t="s">
        <v>38</v>
      </c>
      <c r="G18" s="18" t="s">
        <v>95</v>
      </c>
      <c r="H18" s="18"/>
      <c r="I18" s="18" t="s">
        <v>89</v>
      </c>
      <c r="J18" s="18" t="s">
        <v>85</v>
      </c>
      <c r="K18" s="19">
        <f>ROUND(INDEX('Stats base'!B$5:B$8,MATCH($C18,'Stats base'!$A$5:$A$8,0))*INDEX('Stats base'!B$12:B$14,MATCH($E18,'Stats base'!$A$12:$A$14,0))*INDEX('Stats base'!B$18:B$22,MATCH($J18,'Stats base'!$A$18:$A$22,0))*IFERROR(INDEX(Variación!C$3:C$228,MATCH($G18,Variación!$A$3:$A$228,0)),1),0)</f>
        <v>122</v>
      </c>
      <c r="L18" s="20">
        <f>ROUND(INDEX('Stats base'!C$5:C$8,MATCH($C18,'Stats base'!$A$5:$A$8,0))*INDEX('Stats base'!C$12:C$14,MATCH($E18,'Stats base'!$A$12:$A$14,0))*INDEX('Stats base'!C$18:C$22,MATCH($J18,'Stats base'!$A$18:$A$22,0))*IFERROR(INDEX(Variación!D$3:D$228,MATCH($G18,Variación!$A$3:$A$228,0)),1),1)</f>
        <v>6.4</v>
      </c>
      <c r="M18" s="20">
        <f>ROUND(INDEX('Stats base'!D$5:D$8,MATCH($C18,'Stats base'!$A$5:$A$8,0))*INDEX('Stats base'!D$12:D$14,MATCH($E18,'Stats base'!$A$12:$A$14,0))*INDEX('Stats base'!D$18:D$22,MATCH($J18,'Stats base'!$A$18:$A$22,0))*IFERROR(INDEX(Variación!E$3:E$228,MATCH($G18,Variación!$A$3:$A$228,0)),1),1)</f>
        <v>10.9</v>
      </c>
      <c r="N18" s="20">
        <f>ROUND(INDEX('Stats base'!E$5:E$8,MATCH($C18,'Stats base'!$A$5:$A$8,0))*INDEX('Stats base'!E$12:E$14,MATCH($E18,'Stats base'!$A$12:$A$14,0))*INDEX('Stats base'!E$18:E$22,MATCH($J18,'Stats base'!$A$18:$A$22,0))*IFERROR(INDEX(Variación!F$3:F$228,MATCH($G18,Variación!$A$3:$A$228,0)),1),1)</f>
        <v>8.1</v>
      </c>
      <c r="O18" s="19">
        <f>ROUND(INDEX('Stats base'!F$5:F$8,MATCH($C18,'Stats base'!$A$5:$A$8,0))*INDEX('Stats base'!F$12:F$14,MATCH($E18,'Stats base'!$A$12:$A$14,0))*INDEX('Stats base'!F$18:F$22,MATCH($J18,'Stats base'!$A$18:$A$22,0))*IFERROR(INDEX(Variación!G$3:G$228,MATCH($G18,Variación!$A$3:$A$228,0)),1),0)</f>
        <v>98</v>
      </c>
      <c r="P18" s="21">
        <f>MIN('Stats base'!$G$30,ROUND(INDEX('Stats base'!G$5:G$8,MATCH($C18,'Stats base'!$A$5:$A$8,0))*INDEX('Stats base'!G$12:G$14,MATCH($E18,'Stats base'!$A$12:$A$14,0))*INDEX('Stats base'!G$18:G$22,MATCH($J18,'Stats base'!$A$18:$A$22,0))*IFERROR(INDEX(Variación!H$3:H$228,MATCH($G18,Variación!$A$3:$A$228,0)),1),3))</f>
        <v>1.2999999999999999E-2</v>
      </c>
    </row>
    <row r="19" spans="1:16" ht="34.5" customHeight="1" x14ac:dyDescent="0.25">
      <c r="A19" s="15" t="s">
        <v>96</v>
      </c>
      <c r="B19" s="15" t="s">
        <v>97</v>
      </c>
      <c r="C19" s="16" t="s">
        <v>37</v>
      </c>
      <c r="D19" s="17" t="s">
        <v>29</v>
      </c>
      <c r="E19" s="16" t="s">
        <v>42</v>
      </c>
      <c r="F19" s="16" t="s">
        <v>43</v>
      </c>
      <c r="G19" s="18" t="s">
        <v>98</v>
      </c>
      <c r="H19" s="18"/>
      <c r="I19" s="18" t="s">
        <v>89</v>
      </c>
      <c r="J19" s="18" t="s">
        <v>85</v>
      </c>
      <c r="K19" s="19">
        <f>ROUND(INDEX('Stats base'!B$5:B$8,MATCH($C19,'Stats base'!$A$5:$A$8,0))*INDEX('Stats base'!B$12:B$14,MATCH($E19,'Stats base'!$A$12:$A$14,0))*INDEX('Stats base'!B$18:B$22,MATCH($J19,'Stats base'!$A$18:$A$22,0))*IFERROR(INDEX(Variación!C$3:C$228,MATCH($G19,Variación!$A$3:$A$228,0)),1),0)</f>
        <v>133</v>
      </c>
      <c r="L19" s="20">
        <f>ROUND(INDEX('Stats base'!C$5:C$8,MATCH($C19,'Stats base'!$A$5:$A$8,0))*INDEX('Stats base'!C$12:C$14,MATCH($E19,'Stats base'!$A$12:$A$14,0))*INDEX('Stats base'!C$18:C$22,MATCH($J19,'Stats base'!$A$18:$A$22,0))*IFERROR(INDEX(Variación!D$3:D$228,MATCH($G19,Variación!$A$3:$A$228,0)),1),1)</f>
        <v>8.1999999999999993</v>
      </c>
      <c r="M19" s="20">
        <f>ROUND(INDEX('Stats base'!D$5:D$8,MATCH($C19,'Stats base'!$A$5:$A$8,0))*INDEX('Stats base'!D$12:D$14,MATCH($E19,'Stats base'!$A$12:$A$14,0))*INDEX('Stats base'!D$18:D$22,MATCH($J19,'Stats base'!$A$18:$A$22,0))*IFERROR(INDEX(Variación!E$3:E$228,MATCH($G19,Variación!$A$3:$A$228,0)),1),1)</f>
        <v>12.9</v>
      </c>
      <c r="N19" s="20">
        <f>ROUND(INDEX('Stats base'!E$5:E$8,MATCH($C19,'Stats base'!$A$5:$A$8,0))*INDEX('Stats base'!E$12:E$14,MATCH($E19,'Stats base'!$A$12:$A$14,0))*INDEX('Stats base'!E$18:E$22,MATCH($J19,'Stats base'!$A$18:$A$22,0))*IFERROR(INDEX(Variación!F$3:F$228,MATCH($G19,Variación!$A$3:$A$228,0)),1),1)</f>
        <v>8.1</v>
      </c>
      <c r="O19" s="19">
        <f>ROUND(INDEX('Stats base'!F$5:F$8,MATCH($C19,'Stats base'!$A$5:$A$8,0))*INDEX('Stats base'!F$12:F$14,MATCH($E19,'Stats base'!$A$12:$A$14,0))*INDEX('Stats base'!F$18:F$22,MATCH($J19,'Stats base'!$A$18:$A$22,0))*IFERROR(INDEX(Variación!G$3:G$228,MATCH($G19,Variación!$A$3:$A$228,0)),1),0)</f>
        <v>87</v>
      </c>
      <c r="P19" s="21">
        <f>MIN('Stats base'!$G$30,ROUND(INDEX('Stats base'!G$5:G$8,MATCH($C19,'Stats base'!$A$5:$A$8,0))*INDEX('Stats base'!G$12:G$14,MATCH($E19,'Stats base'!$A$12:$A$14,0))*INDEX('Stats base'!G$18:G$22,MATCH($J19,'Stats base'!$A$18:$A$22,0))*IFERROR(INDEX(Variación!H$3:H$228,MATCH($G19,Variación!$A$3:$A$228,0)),1),3))</f>
        <v>1.0999999999999999E-2</v>
      </c>
    </row>
    <row r="20" spans="1:16" ht="34.5" customHeight="1" x14ac:dyDescent="0.25">
      <c r="A20" s="15" t="s">
        <v>99</v>
      </c>
      <c r="B20" s="15" t="s">
        <v>100</v>
      </c>
      <c r="C20" s="16" t="s">
        <v>58</v>
      </c>
      <c r="D20" s="17" t="s">
        <v>29</v>
      </c>
      <c r="E20" s="16" t="s">
        <v>30</v>
      </c>
      <c r="F20" s="16" t="s">
        <v>48</v>
      </c>
      <c r="G20" s="18" t="s">
        <v>101</v>
      </c>
      <c r="H20" s="18"/>
      <c r="I20" s="18" t="s">
        <v>89</v>
      </c>
      <c r="J20" s="18" t="s">
        <v>85</v>
      </c>
      <c r="K20" s="19">
        <f>ROUND(INDEX('Stats base'!B$5:B$8,MATCH($C20,'Stats base'!$A$5:$A$8,0))*INDEX('Stats base'!B$12:B$14,MATCH($E20,'Stats base'!$A$12:$A$14,0))*INDEX('Stats base'!B$18:B$22,MATCH($J20,'Stats base'!$A$18:$A$22,0))*IFERROR(INDEX(Variación!C$3:C$228,MATCH($G20,Variación!$A$3:$A$228,0)),1),0)</f>
        <v>86</v>
      </c>
      <c r="L20" s="20">
        <f>ROUND(INDEX('Stats base'!C$5:C$8,MATCH($C20,'Stats base'!$A$5:$A$8,0))*INDEX('Stats base'!C$12:C$14,MATCH($E20,'Stats base'!$A$12:$A$14,0))*INDEX('Stats base'!C$18:C$22,MATCH($J20,'Stats base'!$A$18:$A$22,0))*IFERROR(INDEX(Variación!D$3:D$228,MATCH($G20,Variación!$A$3:$A$228,0)),1),1)</f>
        <v>9.3000000000000007</v>
      </c>
      <c r="M20" s="20">
        <f>ROUND(INDEX('Stats base'!D$5:D$8,MATCH($C20,'Stats base'!$A$5:$A$8,0))*INDEX('Stats base'!D$12:D$14,MATCH($E20,'Stats base'!$A$12:$A$14,0))*INDEX('Stats base'!D$18:D$22,MATCH($J20,'Stats base'!$A$18:$A$22,0))*IFERROR(INDEX(Variación!E$3:E$228,MATCH($G20,Variación!$A$3:$A$228,0)),1),1)</f>
        <v>15.5</v>
      </c>
      <c r="N20" s="20">
        <f>ROUND(INDEX('Stats base'!E$5:E$8,MATCH($C20,'Stats base'!$A$5:$A$8,0))*INDEX('Stats base'!E$12:E$14,MATCH($E20,'Stats base'!$A$12:$A$14,0))*INDEX('Stats base'!E$18:E$22,MATCH($J20,'Stats base'!$A$18:$A$22,0))*IFERROR(INDEX(Variación!F$3:F$228,MATCH($G20,Variación!$A$3:$A$228,0)),1),1)</f>
        <v>4</v>
      </c>
      <c r="O20" s="19">
        <f>ROUND(INDEX('Stats base'!F$5:F$8,MATCH($C20,'Stats base'!$A$5:$A$8,0))*INDEX('Stats base'!F$12:F$14,MATCH($E20,'Stats base'!$A$12:$A$14,0))*INDEX('Stats base'!F$18:F$22,MATCH($J20,'Stats base'!$A$18:$A$22,0))*IFERROR(INDEX(Variación!G$3:G$228,MATCH($G20,Variación!$A$3:$A$228,0)),1),0)</f>
        <v>99</v>
      </c>
      <c r="P20" s="21">
        <f>MIN('Stats base'!$G$30,ROUND(INDEX('Stats base'!G$5:G$8,MATCH($C20,'Stats base'!$A$5:$A$8,0))*INDEX('Stats base'!G$12:G$14,MATCH($E20,'Stats base'!$A$12:$A$14,0))*INDEX('Stats base'!G$18:G$22,MATCH($J20,'Stats base'!$A$18:$A$22,0))*IFERROR(INDEX(Variación!H$3:H$228,MATCH($G20,Variación!$A$3:$A$228,0)),1),3))</f>
        <v>3.1E-2</v>
      </c>
    </row>
    <row r="21" spans="1:16" ht="34.5" hidden="1" customHeight="1" x14ac:dyDescent="0.25">
      <c r="A21" s="15" t="s">
        <v>102</v>
      </c>
      <c r="B21" s="15" t="s">
        <v>103</v>
      </c>
      <c r="C21" s="16" t="s">
        <v>58</v>
      </c>
      <c r="D21" s="17" t="s">
        <v>29</v>
      </c>
      <c r="E21" s="16" t="s">
        <v>30</v>
      </c>
      <c r="F21" s="16" t="s">
        <v>48</v>
      </c>
      <c r="G21" s="18" t="s">
        <v>104</v>
      </c>
      <c r="H21" s="18"/>
      <c r="I21" s="18" t="s">
        <v>89</v>
      </c>
      <c r="J21" s="18" t="s">
        <v>70</v>
      </c>
      <c r="K21" s="19">
        <f>ROUND(INDEX('Stats base'!B$5:B$8,MATCH($C21,'Stats base'!$A$5:$A$8,0))*INDEX('Stats base'!B$12:B$14,MATCH($E21,'Stats base'!$A$12:$A$14,0))*INDEX('Stats base'!B$18:B$22,MATCH($J21,'Stats base'!$A$18:$A$22,0))*IFERROR(INDEX(Variación!C$3:C$228,MATCH($G21,Variación!$A$3:$A$228,0)),1),0)</f>
        <v>110</v>
      </c>
      <c r="L21" s="20">
        <f>ROUND(INDEX('Stats base'!C$5:C$8,MATCH($C21,'Stats base'!$A$5:$A$8,0))*INDEX('Stats base'!C$12:C$14,MATCH($E21,'Stats base'!$A$12:$A$14,0))*INDEX('Stats base'!C$18:C$22,MATCH($J21,'Stats base'!$A$18:$A$22,0))*IFERROR(INDEX(Variación!D$3:D$228,MATCH($G21,Variación!$A$3:$A$228,0)),1),1)</f>
        <v>10.1</v>
      </c>
      <c r="M21" s="20">
        <f>ROUND(INDEX('Stats base'!D$5:D$8,MATCH($C21,'Stats base'!$A$5:$A$8,0))*INDEX('Stats base'!D$12:D$14,MATCH($E21,'Stats base'!$A$12:$A$14,0))*INDEX('Stats base'!D$18:D$22,MATCH($J21,'Stats base'!$A$18:$A$22,0))*IFERROR(INDEX(Variación!E$3:E$228,MATCH($G21,Variación!$A$3:$A$228,0)),1),1)</f>
        <v>17.399999999999999</v>
      </c>
      <c r="N21" s="20">
        <f>ROUND(INDEX('Stats base'!E$5:E$8,MATCH($C21,'Stats base'!$A$5:$A$8,0))*INDEX('Stats base'!E$12:E$14,MATCH($E21,'Stats base'!$A$12:$A$14,0))*INDEX('Stats base'!E$18:E$22,MATCH($J21,'Stats base'!$A$18:$A$22,0))*IFERROR(INDEX(Variación!F$3:F$228,MATCH($G21,Variación!$A$3:$A$228,0)),1),1)</f>
        <v>4.7</v>
      </c>
      <c r="O21" s="19">
        <f>ROUND(INDEX('Stats base'!F$5:F$8,MATCH($C21,'Stats base'!$A$5:$A$8,0))*INDEX('Stats base'!F$12:F$14,MATCH($E21,'Stats base'!$A$12:$A$14,0))*INDEX('Stats base'!F$18:F$22,MATCH($J21,'Stats base'!$A$18:$A$22,0))*IFERROR(INDEX(Variación!G$3:G$228,MATCH($G21,Variación!$A$3:$A$228,0)),1),0)</f>
        <v>122</v>
      </c>
      <c r="P21" s="21">
        <f>MIN('Stats base'!$G$30,ROUND(INDEX('Stats base'!G$5:G$8,MATCH($C21,'Stats base'!$A$5:$A$8,0))*INDEX('Stats base'!G$12:G$14,MATCH($E21,'Stats base'!$A$12:$A$14,0))*INDEX('Stats base'!G$18:G$22,MATCH($J21,'Stats base'!$A$18:$A$22,0))*IFERROR(INDEX(Variación!H$3:H$228,MATCH($G21,Variación!$A$3:$A$228,0)),1),3))</f>
        <v>0.06</v>
      </c>
    </row>
    <row r="22" spans="1:16" ht="34.5" customHeight="1" x14ac:dyDescent="0.25">
      <c r="A22" s="15" t="s">
        <v>105</v>
      </c>
      <c r="B22" s="15" t="s">
        <v>106</v>
      </c>
      <c r="C22" s="16" t="s">
        <v>58</v>
      </c>
      <c r="D22" s="17" t="s">
        <v>29</v>
      </c>
      <c r="E22" s="16" t="s">
        <v>30</v>
      </c>
      <c r="F22" s="16" t="s">
        <v>54</v>
      </c>
      <c r="G22" s="18" t="s">
        <v>107</v>
      </c>
      <c r="H22" s="18"/>
      <c r="I22" s="18" t="s">
        <v>89</v>
      </c>
      <c r="J22" s="18" t="s">
        <v>85</v>
      </c>
      <c r="K22" s="19">
        <f>ROUND(INDEX('Stats base'!B$5:B$8,MATCH($C22,'Stats base'!$A$5:$A$8,0))*INDEX('Stats base'!B$12:B$14,MATCH($E22,'Stats base'!$A$12:$A$14,0))*INDEX('Stats base'!B$18:B$22,MATCH($J22,'Stats base'!$A$18:$A$22,0))*IFERROR(INDEX(Variación!C$3:C$228,MATCH($G22,Variación!$A$3:$A$228,0)),1),0)</f>
        <v>90</v>
      </c>
      <c r="L22" s="20">
        <f>ROUND(INDEX('Stats base'!C$5:C$8,MATCH($C22,'Stats base'!$A$5:$A$8,0))*INDEX('Stats base'!C$12:C$14,MATCH($E22,'Stats base'!$A$12:$A$14,0))*INDEX('Stats base'!C$18:C$22,MATCH($J22,'Stats base'!$A$18:$A$22,0))*IFERROR(INDEX(Variación!D$3:D$228,MATCH($G22,Variación!$A$3:$A$228,0)),1),1)</f>
        <v>7.9</v>
      </c>
      <c r="M22" s="20">
        <f>ROUND(INDEX('Stats base'!D$5:D$8,MATCH($C22,'Stats base'!$A$5:$A$8,0))*INDEX('Stats base'!D$12:D$14,MATCH($E22,'Stats base'!$A$12:$A$14,0))*INDEX('Stats base'!D$18:D$22,MATCH($J22,'Stats base'!$A$18:$A$22,0))*IFERROR(INDEX(Variación!E$3:E$228,MATCH($G22,Variación!$A$3:$A$228,0)),1),1)</f>
        <v>14.1</v>
      </c>
      <c r="N22" s="20">
        <f>ROUND(INDEX('Stats base'!E$5:E$8,MATCH($C22,'Stats base'!$A$5:$A$8,0))*INDEX('Stats base'!E$12:E$14,MATCH($E22,'Stats base'!$A$12:$A$14,0))*INDEX('Stats base'!E$18:E$22,MATCH($J22,'Stats base'!$A$18:$A$22,0))*IFERROR(INDEX(Variación!F$3:F$228,MATCH($G22,Variación!$A$3:$A$228,0)),1),1)</f>
        <v>3.9</v>
      </c>
      <c r="O22" s="19">
        <f>ROUND(INDEX('Stats base'!F$5:F$8,MATCH($C22,'Stats base'!$A$5:$A$8,0))*INDEX('Stats base'!F$12:F$14,MATCH($E22,'Stats base'!$A$12:$A$14,0))*INDEX('Stats base'!F$18:F$22,MATCH($J22,'Stats base'!$A$18:$A$22,0))*IFERROR(INDEX(Variación!G$3:G$228,MATCH($G22,Variación!$A$3:$A$228,0)),1),0)</f>
        <v>107</v>
      </c>
      <c r="P22" s="21">
        <f>MIN('Stats base'!$G$30,ROUND(INDEX('Stats base'!G$5:G$8,MATCH($C22,'Stats base'!$A$5:$A$8,0))*INDEX('Stats base'!G$12:G$14,MATCH($E22,'Stats base'!$A$12:$A$14,0))*INDEX('Stats base'!G$18:G$22,MATCH($J22,'Stats base'!$A$18:$A$22,0))*IFERROR(INDEX(Variación!H$3:H$228,MATCH($G22,Variación!$A$3:$A$228,0)),1),3))</f>
        <v>3.4000000000000002E-2</v>
      </c>
    </row>
    <row r="23" spans="1:16" ht="34.5" customHeight="1" x14ac:dyDescent="0.25">
      <c r="A23" s="15" t="s">
        <v>108</v>
      </c>
      <c r="B23" s="15" t="s">
        <v>109</v>
      </c>
      <c r="C23" s="16" t="s">
        <v>58</v>
      </c>
      <c r="D23" s="17" t="s">
        <v>29</v>
      </c>
      <c r="E23" s="16" t="s">
        <v>30</v>
      </c>
      <c r="F23" s="16" t="s">
        <v>43</v>
      </c>
      <c r="G23" s="18" t="s">
        <v>110</v>
      </c>
      <c r="H23" s="18"/>
      <c r="I23" s="18" t="s">
        <v>89</v>
      </c>
      <c r="J23" s="18" t="s">
        <v>85</v>
      </c>
      <c r="K23" s="19">
        <f>ROUND(INDEX('Stats base'!B$5:B$8,MATCH($C23,'Stats base'!$A$5:$A$8,0))*INDEX('Stats base'!B$12:B$14,MATCH($E23,'Stats base'!$A$12:$A$14,0))*INDEX('Stats base'!B$18:B$22,MATCH($J23,'Stats base'!$A$18:$A$22,0))*IFERROR(INDEX(Variación!C$3:C$228,MATCH($G23,Variación!$A$3:$A$228,0)),1),0)</f>
        <v>81</v>
      </c>
      <c r="L23" s="20">
        <f>ROUND(INDEX('Stats base'!C$5:C$8,MATCH($C23,'Stats base'!$A$5:$A$8,0))*INDEX('Stats base'!C$12:C$14,MATCH($E23,'Stats base'!$A$12:$A$14,0))*INDEX('Stats base'!C$18:C$22,MATCH($J23,'Stats base'!$A$18:$A$22,0))*IFERROR(INDEX(Variación!D$3:D$228,MATCH($G23,Variación!$A$3:$A$228,0)),1),1)</f>
        <v>9.5</v>
      </c>
      <c r="M23" s="20">
        <f>ROUND(INDEX('Stats base'!D$5:D$8,MATCH($C23,'Stats base'!$A$5:$A$8,0))*INDEX('Stats base'!D$12:D$14,MATCH($E23,'Stats base'!$A$12:$A$14,0))*INDEX('Stats base'!D$18:D$22,MATCH($J23,'Stats base'!$A$18:$A$22,0))*IFERROR(INDEX(Variación!E$3:E$228,MATCH($G23,Variación!$A$3:$A$228,0)),1),1)</f>
        <v>16.8</v>
      </c>
      <c r="N23" s="20">
        <f>ROUND(INDEX('Stats base'!E$5:E$8,MATCH($C23,'Stats base'!$A$5:$A$8,0))*INDEX('Stats base'!E$12:E$14,MATCH($E23,'Stats base'!$A$12:$A$14,0))*INDEX('Stats base'!E$18:E$22,MATCH($J23,'Stats base'!$A$18:$A$22,0))*IFERROR(INDEX(Variación!F$3:F$228,MATCH($G23,Variación!$A$3:$A$228,0)),1),1)</f>
        <v>3.9</v>
      </c>
      <c r="O23" s="19">
        <f>ROUND(INDEX('Stats base'!F$5:F$8,MATCH($C23,'Stats base'!$A$5:$A$8,0))*INDEX('Stats base'!F$12:F$14,MATCH($E23,'Stats base'!$A$12:$A$14,0))*INDEX('Stats base'!F$18:F$22,MATCH($J23,'Stats base'!$A$18:$A$22,0))*IFERROR(INDEX(Variación!G$3:G$228,MATCH($G23,Variación!$A$3:$A$228,0)),1),0)</f>
        <v>105</v>
      </c>
      <c r="P23" s="21">
        <f>MIN('Stats base'!$G$30,ROUND(INDEX('Stats base'!G$5:G$8,MATCH($C23,'Stats base'!$A$5:$A$8,0))*INDEX('Stats base'!G$12:G$14,MATCH($E23,'Stats base'!$A$12:$A$14,0))*INDEX('Stats base'!G$18:G$22,MATCH($J23,'Stats base'!$A$18:$A$22,0))*IFERROR(INDEX(Variación!H$3:H$228,MATCH($G23,Variación!$A$3:$A$228,0)),1),3))</f>
        <v>3.4000000000000002E-2</v>
      </c>
    </row>
    <row r="24" spans="1:16" ht="34.5" hidden="1" customHeight="1" x14ac:dyDescent="0.25">
      <c r="A24" s="15" t="s">
        <v>111</v>
      </c>
      <c r="B24" s="15" t="s">
        <v>112</v>
      </c>
      <c r="C24" s="16" t="s">
        <v>68</v>
      </c>
      <c r="D24" s="17" t="s">
        <v>29</v>
      </c>
      <c r="E24" s="16" t="s">
        <v>30</v>
      </c>
      <c r="F24" s="16" t="s">
        <v>38</v>
      </c>
      <c r="G24" s="18" t="s">
        <v>113</v>
      </c>
      <c r="H24" s="18"/>
      <c r="I24" s="18" t="s">
        <v>89</v>
      </c>
      <c r="J24" s="18" t="s">
        <v>70</v>
      </c>
      <c r="K24" s="19">
        <f>ROUND(INDEX('Stats base'!B$5:B$8,MATCH($C24,'Stats base'!$A$5:$A$8,0))*INDEX('Stats base'!B$12:B$14,MATCH($E24,'Stats base'!$A$12:$A$14,0))*INDEX('Stats base'!B$18:B$22,MATCH($J24,'Stats base'!$A$18:$A$22,0))*IFERROR(INDEX(Variación!C$3:C$228,MATCH($G24,Variación!$A$3:$A$228,0)),1),0)</f>
        <v>94</v>
      </c>
      <c r="L24" s="20">
        <f>ROUND(INDEX('Stats base'!C$5:C$8,MATCH($C24,'Stats base'!$A$5:$A$8,0))*INDEX('Stats base'!C$12:C$14,MATCH($E24,'Stats base'!$A$12:$A$14,0))*INDEX('Stats base'!C$18:C$22,MATCH($J24,'Stats base'!$A$18:$A$22,0))*IFERROR(INDEX(Variación!D$3:D$228,MATCH($G24,Variación!$A$3:$A$228,0)),1),1)</f>
        <v>16.7</v>
      </c>
      <c r="M24" s="20">
        <f>ROUND(INDEX('Stats base'!D$5:D$8,MATCH($C24,'Stats base'!$A$5:$A$8,0))*INDEX('Stats base'!D$12:D$14,MATCH($E24,'Stats base'!$A$12:$A$14,0))*INDEX('Stats base'!D$18:D$22,MATCH($J24,'Stats base'!$A$18:$A$22,0))*IFERROR(INDEX(Variación!E$3:E$228,MATCH($G24,Variación!$A$3:$A$228,0)),1),1)</f>
        <v>25</v>
      </c>
      <c r="N24" s="20">
        <f>ROUND(INDEX('Stats base'!E$5:E$8,MATCH($C24,'Stats base'!$A$5:$A$8,0))*INDEX('Stats base'!E$12:E$14,MATCH($E24,'Stats base'!$A$12:$A$14,0))*INDEX('Stats base'!E$18:E$22,MATCH($J24,'Stats base'!$A$18:$A$22,0))*IFERROR(INDEX(Variación!F$3:F$228,MATCH($G24,Variación!$A$3:$A$228,0)),1),1)</f>
        <v>3.6</v>
      </c>
      <c r="O24" s="19">
        <f>ROUND(INDEX('Stats base'!F$5:F$8,MATCH($C24,'Stats base'!$A$5:$A$8,0))*INDEX('Stats base'!F$12:F$14,MATCH($E24,'Stats base'!$A$12:$A$14,0))*INDEX('Stats base'!F$18:F$22,MATCH($J24,'Stats base'!$A$18:$A$22,0))*IFERROR(INDEX(Variación!G$3:G$228,MATCH($G24,Variación!$A$3:$A$228,0)),1),0)</f>
        <v>94</v>
      </c>
      <c r="P24" s="21">
        <f>MIN('Stats base'!$G$30,ROUND(INDEX('Stats base'!G$5:G$8,MATCH($C24,'Stats base'!$A$5:$A$8,0))*INDEX('Stats base'!G$12:G$14,MATCH($E24,'Stats base'!$A$12:$A$14,0))*INDEX('Stats base'!G$18:G$22,MATCH($J24,'Stats base'!$A$18:$A$22,0))*IFERROR(INDEX(Variación!H$3:H$228,MATCH($G24,Variación!$A$3:$A$228,0)),1),3))</f>
        <v>2.9000000000000001E-2</v>
      </c>
    </row>
    <row r="25" spans="1:16" ht="34.5" customHeight="1" x14ac:dyDescent="0.25">
      <c r="A25" s="15" t="s">
        <v>114</v>
      </c>
      <c r="B25" s="15" t="s">
        <v>115</v>
      </c>
      <c r="C25" s="16" t="s">
        <v>58</v>
      </c>
      <c r="D25" s="17" t="s">
        <v>29</v>
      </c>
      <c r="E25" s="16" t="s">
        <v>30</v>
      </c>
      <c r="F25" s="16" t="s">
        <v>54</v>
      </c>
      <c r="G25" s="18" t="s">
        <v>116</v>
      </c>
      <c r="H25" s="18"/>
      <c r="I25" s="18" t="s">
        <v>89</v>
      </c>
      <c r="J25" s="18" t="s">
        <v>85</v>
      </c>
      <c r="K25" s="19">
        <f>ROUND(INDEX('Stats base'!B$5:B$8,MATCH($C25,'Stats base'!$A$5:$A$8,0))*INDEX('Stats base'!B$12:B$14,MATCH($E25,'Stats base'!$A$12:$A$14,0))*INDEX('Stats base'!B$18:B$22,MATCH($J25,'Stats base'!$A$18:$A$22,0))*IFERROR(INDEX(Variación!C$3:C$228,MATCH($G25,Variación!$A$3:$A$228,0)),1),0)</f>
        <v>104</v>
      </c>
      <c r="L25" s="20">
        <f>ROUND(INDEX('Stats base'!C$5:C$8,MATCH($C25,'Stats base'!$A$5:$A$8,0))*INDEX('Stats base'!C$12:C$14,MATCH($E25,'Stats base'!$A$12:$A$14,0))*INDEX('Stats base'!C$18:C$22,MATCH($J25,'Stats base'!$A$18:$A$22,0))*IFERROR(INDEX(Variación!D$3:D$228,MATCH($G25,Variación!$A$3:$A$228,0)),1),1)</f>
        <v>8.9</v>
      </c>
      <c r="M25" s="20">
        <f>ROUND(INDEX('Stats base'!D$5:D$8,MATCH($C25,'Stats base'!$A$5:$A$8,0))*INDEX('Stats base'!D$12:D$14,MATCH($E25,'Stats base'!$A$12:$A$14,0))*INDEX('Stats base'!D$18:D$22,MATCH($J25,'Stats base'!$A$18:$A$22,0))*IFERROR(INDEX(Variación!E$3:E$228,MATCH($G25,Variación!$A$3:$A$228,0)),1),1)</f>
        <v>16.2</v>
      </c>
      <c r="N25" s="20">
        <f>ROUND(INDEX('Stats base'!E$5:E$8,MATCH($C25,'Stats base'!$A$5:$A$8,0))*INDEX('Stats base'!E$12:E$14,MATCH($E25,'Stats base'!$A$12:$A$14,0))*INDEX('Stats base'!E$18:E$22,MATCH($J25,'Stats base'!$A$18:$A$22,0))*IFERROR(INDEX(Variación!F$3:F$228,MATCH($G25,Variación!$A$3:$A$228,0)),1),1)</f>
        <v>4.5</v>
      </c>
      <c r="O25" s="19">
        <f>ROUND(INDEX('Stats base'!F$5:F$8,MATCH($C25,'Stats base'!$A$5:$A$8,0))*INDEX('Stats base'!F$12:F$14,MATCH($E25,'Stats base'!$A$12:$A$14,0))*INDEX('Stats base'!F$18:F$22,MATCH($J25,'Stats base'!$A$18:$A$22,0))*IFERROR(INDEX(Variación!G$3:G$228,MATCH($G25,Variación!$A$3:$A$228,0)),1),0)</f>
        <v>97</v>
      </c>
      <c r="P25" s="21">
        <f>MIN('Stats base'!$G$30,ROUND(INDEX('Stats base'!G$5:G$8,MATCH($C25,'Stats base'!$A$5:$A$8,0))*INDEX('Stats base'!G$12:G$14,MATCH($E25,'Stats base'!$A$12:$A$14,0))*INDEX('Stats base'!G$18:G$22,MATCH($J25,'Stats base'!$A$18:$A$22,0))*IFERROR(INDEX(Variación!H$3:H$228,MATCH($G25,Variación!$A$3:$A$228,0)),1),3))</f>
        <v>3.1E-2</v>
      </c>
    </row>
    <row r="26" spans="1:16" ht="34.5" hidden="1" customHeight="1" x14ac:dyDescent="0.25">
      <c r="A26" s="15" t="s">
        <v>117</v>
      </c>
      <c r="B26" s="15" t="s">
        <v>118</v>
      </c>
      <c r="C26" s="16" t="s">
        <v>68</v>
      </c>
      <c r="D26" s="17" t="s">
        <v>29</v>
      </c>
      <c r="E26" s="16" t="s">
        <v>42</v>
      </c>
      <c r="F26" s="16" t="s">
        <v>75</v>
      </c>
      <c r="G26" s="18" t="s">
        <v>119</v>
      </c>
      <c r="H26" s="18"/>
      <c r="I26" s="18" t="s">
        <v>89</v>
      </c>
      <c r="J26" s="18" t="s">
        <v>50</v>
      </c>
      <c r="K26" s="19">
        <f>ROUND(INDEX('Stats base'!B$5:B$8,MATCH($C26,'Stats base'!$A$5:$A$8,0))*INDEX('Stats base'!B$12:B$14,MATCH($E26,'Stats base'!$A$12:$A$14,0))*INDEX('Stats base'!B$18:B$22,MATCH($J26,'Stats base'!$A$18:$A$22,0))*IFERROR(INDEX(Variación!C$3:C$228,MATCH($G26,Variación!$A$3:$A$228,0)),1),0)</f>
        <v>92</v>
      </c>
      <c r="L26" s="20">
        <f>ROUND(INDEX('Stats base'!C$5:C$8,MATCH($C26,'Stats base'!$A$5:$A$8,0))*INDEX('Stats base'!C$12:C$14,MATCH($E26,'Stats base'!$A$12:$A$14,0))*INDEX('Stats base'!C$18:C$22,MATCH($J26,'Stats base'!$A$18:$A$22,0))*IFERROR(INDEX(Variación!D$3:D$228,MATCH($G26,Variación!$A$3:$A$228,0)),1),1)</f>
        <v>13.5</v>
      </c>
      <c r="M26" s="20">
        <f>ROUND(INDEX('Stats base'!D$5:D$8,MATCH($C26,'Stats base'!$A$5:$A$8,0))*INDEX('Stats base'!D$12:D$14,MATCH($E26,'Stats base'!$A$12:$A$14,0))*INDEX('Stats base'!D$18:D$22,MATCH($J26,'Stats base'!$A$18:$A$22,0))*IFERROR(INDEX(Variación!E$3:E$228,MATCH($G26,Variación!$A$3:$A$228,0)),1),1)</f>
        <v>22.3</v>
      </c>
      <c r="N26" s="20">
        <f>ROUND(INDEX('Stats base'!E$5:E$8,MATCH($C26,'Stats base'!$A$5:$A$8,0))*INDEX('Stats base'!E$12:E$14,MATCH($E26,'Stats base'!$A$12:$A$14,0))*INDEX('Stats base'!E$18:E$22,MATCH($J26,'Stats base'!$A$18:$A$22,0))*IFERROR(INDEX(Variación!F$3:F$228,MATCH($G26,Variación!$A$3:$A$228,0)),1),1)</f>
        <v>3.4</v>
      </c>
      <c r="O26" s="19">
        <f>ROUND(INDEX('Stats base'!F$5:F$8,MATCH($C26,'Stats base'!$A$5:$A$8,0))*INDEX('Stats base'!F$12:F$14,MATCH($E26,'Stats base'!$A$12:$A$14,0))*INDEX('Stats base'!F$18:F$22,MATCH($J26,'Stats base'!$A$18:$A$22,0))*IFERROR(INDEX(Variación!G$3:G$228,MATCH($G26,Variación!$A$3:$A$228,0)),1),0)</f>
        <v>93</v>
      </c>
      <c r="P26" s="21">
        <f>MIN('Stats base'!$G$30,ROUND(INDEX('Stats base'!G$5:G$8,MATCH($C26,'Stats base'!$A$5:$A$8,0))*INDEX('Stats base'!G$12:G$14,MATCH($E26,'Stats base'!$A$12:$A$14,0))*INDEX('Stats base'!G$18:G$22,MATCH($J26,'Stats base'!$A$18:$A$22,0))*IFERROR(INDEX(Variación!H$3:H$228,MATCH($G26,Variación!$A$3:$A$228,0)),1),3))</f>
        <v>2.3E-2</v>
      </c>
    </row>
    <row r="27" spans="1:16" ht="34.5" hidden="1" customHeight="1" x14ac:dyDescent="0.25">
      <c r="A27" s="15" t="s">
        <v>120</v>
      </c>
      <c r="B27" s="15" t="s">
        <v>121</v>
      </c>
      <c r="C27" s="16" t="s">
        <v>68</v>
      </c>
      <c r="D27" s="17" t="s">
        <v>29</v>
      </c>
      <c r="E27" s="16" t="s">
        <v>30</v>
      </c>
      <c r="F27" s="16" t="s">
        <v>48</v>
      </c>
      <c r="G27" s="18" t="s">
        <v>122</v>
      </c>
      <c r="H27" s="18"/>
      <c r="I27" s="18" t="s">
        <v>89</v>
      </c>
      <c r="J27" s="18" t="s">
        <v>50</v>
      </c>
      <c r="K27" s="19">
        <f>ROUND(INDEX('Stats base'!B$5:B$8,MATCH($C27,'Stats base'!$A$5:$A$8,0))*INDEX('Stats base'!B$12:B$14,MATCH($E27,'Stats base'!$A$12:$A$14,0))*INDEX('Stats base'!B$18:B$22,MATCH($J27,'Stats base'!$A$18:$A$22,0))*IFERROR(INDEX(Variación!C$3:C$228,MATCH($G27,Variación!$A$3:$A$228,0)),1),0)</f>
        <v>91</v>
      </c>
      <c r="L27" s="20">
        <f>ROUND(INDEX('Stats base'!C$5:C$8,MATCH($C27,'Stats base'!$A$5:$A$8,0))*INDEX('Stats base'!C$12:C$14,MATCH($E27,'Stats base'!$A$12:$A$14,0))*INDEX('Stats base'!C$18:C$22,MATCH($J27,'Stats base'!$A$18:$A$22,0))*IFERROR(INDEX(Variación!D$3:D$228,MATCH($G27,Variación!$A$3:$A$228,0)),1),1)</f>
        <v>13.6</v>
      </c>
      <c r="M27" s="20">
        <f>ROUND(INDEX('Stats base'!D$5:D$8,MATCH($C27,'Stats base'!$A$5:$A$8,0))*INDEX('Stats base'!D$12:D$14,MATCH($E27,'Stats base'!$A$12:$A$14,0))*INDEX('Stats base'!D$18:D$22,MATCH($J27,'Stats base'!$A$18:$A$22,0))*IFERROR(INDEX(Variación!E$3:E$228,MATCH($G27,Variación!$A$3:$A$228,0)),1),1)</f>
        <v>24.4</v>
      </c>
      <c r="N27" s="20">
        <f>ROUND(INDEX('Stats base'!E$5:E$8,MATCH($C27,'Stats base'!$A$5:$A$8,0))*INDEX('Stats base'!E$12:E$14,MATCH($E27,'Stats base'!$A$12:$A$14,0))*INDEX('Stats base'!E$18:E$22,MATCH($J27,'Stats base'!$A$18:$A$22,0))*IFERROR(INDEX(Variación!F$3:F$228,MATCH($G27,Variación!$A$3:$A$228,0)),1),1)</f>
        <v>3.4</v>
      </c>
      <c r="O27" s="19">
        <f>ROUND(INDEX('Stats base'!F$5:F$8,MATCH($C27,'Stats base'!$A$5:$A$8,0))*INDEX('Stats base'!F$12:F$14,MATCH($E27,'Stats base'!$A$12:$A$14,0))*INDEX('Stats base'!F$18:F$22,MATCH($J27,'Stats base'!$A$18:$A$22,0))*IFERROR(INDEX(Variación!G$3:G$228,MATCH($G27,Variación!$A$3:$A$228,0)),1),0)</f>
        <v>94</v>
      </c>
      <c r="P27" s="21">
        <f>MIN('Stats base'!$G$30,ROUND(INDEX('Stats base'!G$5:G$8,MATCH($C27,'Stats base'!$A$5:$A$8,0))*INDEX('Stats base'!G$12:G$14,MATCH($E27,'Stats base'!$A$12:$A$14,0))*INDEX('Stats base'!G$18:G$22,MATCH($J27,'Stats base'!$A$18:$A$22,0))*IFERROR(INDEX(Variación!H$3:H$228,MATCH($G27,Variación!$A$3:$A$228,0)),1),3))</f>
        <v>2.4E-2</v>
      </c>
    </row>
    <row r="28" spans="1:16" ht="34.5" hidden="1" customHeight="1" x14ac:dyDescent="0.25">
      <c r="A28" s="15" t="s">
        <v>123</v>
      </c>
      <c r="B28" s="15" t="s">
        <v>124</v>
      </c>
      <c r="C28" s="16" t="s">
        <v>68</v>
      </c>
      <c r="D28" s="17" t="s">
        <v>29</v>
      </c>
      <c r="E28" s="16" t="s">
        <v>30</v>
      </c>
      <c r="F28" s="16" t="s">
        <v>38</v>
      </c>
      <c r="G28" s="18" t="s">
        <v>125</v>
      </c>
      <c r="H28" s="18"/>
      <c r="I28" s="18" t="s">
        <v>89</v>
      </c>
      <c r="J28" s="18" t="s">
        <v>50</v>
      </c>
      <c r="K28" s="19">
        <f>ROUND(INDEX('Stats base'!B$5:B$8,MATCH($C28,'Stats base'!$A$5:$A$8,0))*INDEX('Stats base'!B$12:B$14,MATCH($E28,'Stats base'!$A$12:$A$14,0))*INDEX('Stats base'!B$18:B$22,MATCH($J28,'Stats base'!$A$18:$A$22,0))*IFERROR(INDEX(Variación!C$3:C$228,MATCH($G28,Variación!$A$3:$A$228,0)),1),0)</f>
        <v>80</v>
      </c>
      <c r="L28" s="20">
        <f>ROUND(INDEX('Stats base'!C$5:C$8,MATCH($C28,'Stats base'!$A$5:$A$8,0))*INDEX('Stats base'!C$12:C$14,MATCH($E28,'Stats base'!$A$12:$A$14,0))*INDEX('Stats base'!C$18:C$22,MATCH($J28,'Stats base'!$A$18:$A$22,0))*IFERROR(INDEX(Variación!D$3:D$228,MATCH($G28,Variación!$A$3:$A$228,0)),1),1)</f>
        <v>12.5</v>
      </c>
      <c r="M28" s="20">
        <f>ROUND(INDEX('Stats base'!D$5:D$8,MATCH($C28,'Stats base'!$A$5:$A$8,0))*INDEX('Stats base'!D$12:D$14,MATCH($E28,'Stats base'!$A$12:$A$14,0))*INDEX('Stats base'!D$18:D$22,MATCH($J28,'Stats base'!$A$18:$A$22,0))*IFERROR(INDEX(Variación!E$3:E$228,MATCH($G28,Variación!$A$3:$A$228,0)),1),1)</f>
        <v>23.1</v>
      </c>
      <c r="N28" s="20">
        <f>ROUND(INDEX('Stats base'!E$5:E$8,MATCH($C28,'Stats base'!$A$5:$A$8,0))*INDEX('Stats base'!E$12:E$14,MATCH($E28,'Stats base'!$A$12:$A$14,0))*INDEX('Stats base'!E$18:E$22,MATCH($J28,'Stats base'!$A$18:$A$22,0))*IFERROR(INDEX(Variación!F$3:F$228,MATCH($G28,Variación!$A$3:$A$228,0)),1),1)</f>
        <v>3.3</v>
      </c>
      <c r="O28" s="19">
        <f>ROUND(INDEX('Stats base'!F$5:F$8,MATCH($C28,'Stats base'!$A$5:$A$8,0))*INDEX('Stats base'!F$12:F$14,MATCH($E28,'Stats base'!$A$12:$A$14,0))*INDEX('Stats base'!F$18:F$22,MATCH($J28,'Stats base'!$A$18:$A$22,0))*IFERROR(INDEX(Variación!G$3:G$228,MATCH($G28,Variación!$A$3:$A$228,0)),1),0)</f>
        <v>98</v>
      </c>
      <c r="P28" s="21">
        <f>MIN('Stats base'!$G$30,ROUND(INDEX('Stats base'!G$5:G$8,MATCH($C28,'Stats base'!$A$5:$A$8,0))*INDEX('Stats base'!G$12:G$14,MATCH($E28,'Stats base'!$A$12:$A$14,0))*INDEX('Stats base'!G$18:G$22,MATCH($J28,'Stats base'!$A$18:$A$22,0))*IFERROR(INDEX(Variación!H$3:H$228,MATCH($G28,Variación!$A$3:$A$228,0)),1),3))</f>
        <v>2.4E-2</v>
      </c>
    </row>
    <row r="29" spans="1:16" ht="34.5" customHeight="1" x14ac:dyDescent="0.25">
      <c r="A29" s="15" t="s">
        <v>126</v>
      </c>
      <c r="B29" s="15" t="s">
        <v>127</v>
      </c>
      <c r="C29" s="16" t="s">
        <v>58</v>
      </c>
      <c r="D29" s="17" t="s">
        <v>29</v>
      </c>
      <c r="E29" s="16" t="s">
        <v>42</v>
      </c>
      <c r="F29" s="16" t="s">
        <v>43</v>
      </c>
      <c r="G29" s="18" t="s">
        <v>128</v>
      </c>
      <c r="H29" s="18"/>
      <c r="I29" s="18" t="s">
        <v>89</v>
      </c>
      <c r="J29" s="18" t="s">
        <v>85</v>
      </c>
      <c r="K29" s="19">
        <f>ROUND(INDEX('Stats base'!B$5:B$8,MATCH($C29,'Stats base'!$A$5:$A$8,0))*INDEX('Stats base'!B$12:B$14,MATCH($E29,'Stats base'!$A$12:$A$14,0))*INDEX('Stats base'!B$18:B$22,MATCH($J29,'Stats base'!$A$18:$A$22,0))*IFERROR(INDEX(Variación!C$3:C$228,MATCH($G29,Variación!$A$3:$A$228,0)),1),0)</f>
        <v>97</v>
      </c>
      <c r="L29" s="20">
        <f>ROUND(INDEX('Stats base'!C$5:C$8,MATCH($C29,'Stats base'!$A$5:$A$8,0))*INDEX('Stats base'!C$12:C$14,MATCH($E29,'Stats base'!$A$12:$A$14,0))*INDEX('Stats base'!C$18:C$22,MATCH($J29,'Stats base'!$A$18:$A$22,0))*IFERROR(INDEX(Variación!D$3:D$228,MATCH($G29,Variación!$A$3:$A$228,0)),1),1)</f>
        <v>9.9</v>
      </c>
      <c r="M29" s="20">
        <f>ROUND(INDEX('Stats base'!D$5:D$8,MATCH($C29,'Stats base'!$A$5:$A$8,0))*INDEX('Stats base'!D$12:D$14,MATCH($E29,'Stats base'!$A$12:$A$14,0))*INDEX('Stats base'!D$18:D$22,MATCH($J29,'Stats base'!$A$18:$A$22,0))*IFERROR(INDEX(Variación!E$3:E$228,MATCH($G29,Variación!$A$3:$A$228,0)),1),1)</f>
        <v>18</v>
      </c>
      <c r="N29" s="20">
        <f>ROUND(INDEX('Stats base'!E$5:E$8,MATCH($C29,'Stats base'!$A$5:$A$8,0))*INDEX('Stats base'!E$12:E$14,MATCH($E29,'Stats base'!$A$12:$A$14,0))*INDEX('Stats base'!E$18:E$22,MATCH($J29,'Stats base'!$A$18:$A$22,0))*IFERROR(INDEX(Variación!F$3:F$228,MATCH($G29,Variación!$A$3:$A$228,0)),1),1)</f>
        <v>4.4000000000000004</v>
      </c>
      <c r="O29" s="19">
        <f>ROUND(INDEX('Stats base'!F$5:F$8,MATCH($C29,'Stats base'!$A$5:$A$8,0))*INDEX('Stats base'!F$12:F$14,MATCH($E29,'Stats base'!$A$12:$A$14,0))*INDEX('Stats base'!F$18:F$22,MATCH($J29,'Stats base'!$A$18:$A$22,0))*IFERROR(INDEX(Variación!G$3:G$228,MATCH($G29,Variación!$A$3:$A$228,0)),1),0)</f>
        <v>87</v>
      </c>
      <c r="P29" s="21">
        <f>MIN('Stats base'!$G$30,ROUND(INDEX('Stats base'!G$5:G$8,MATCH($C29,'Stats base'!$A$5:$A$8,0))*INDEX('Stats base'!G$12:G$14,MATCH($E29,'Stats base'!$A$12:$A$14,0))*INDEX('Stats base'!G$18:G$22,MATCH($J29,'Stats base'!$A$18:$A$22,0))*IFERROR(INDEX(Variación!H$3:H$228,MATCH($G29,Variación!$A$3:$A$228,0)),1),3))</f>
        <v>0.03</v>
      </c>
    </row>
    <row r="30" spans="1:16" ht="34.5" hidden="1" customHeight="1" x14ac:dyDescent="0.25">
      <c r="A30" s="15" t="s">
        <v>129</v>
      </c>
      <c r="B30" s="15" t="s">
        <v>130</v>
      </c>
      <c r="C30" s="16" t="s">
        <v>37</v>
      </c>
      <c r="D30" s="17" t="s">
        <v>29</v>
      </c>
      <c r="E30" s="16" t="s">
        <v>42</v>
      </c>
      <c r="F30" s="16" t="s">
        <v>54</v>
      </c>
      <c r="G30" s="18" t="s">
        <v>131</v>
      </c>
      <c r="H30" s="18"/>
      <c r="I30" s="18" t="s">
        <v>89</v>
      </c>
      <c r="J30" s="18" t="s">
        <v>50</v>
      </c>
      <c r="K30" s="19">
        <f>ROUND(INDEX('Stats base'!B$5:B$8,MATCH($C30,'Stats base'!$A$5:$A$8,0))*INDEX('Stats base'!B$12:B$14,MATCH($E30,'Stats base'!$A$12:$A$14,0))*INDEX('Stats base'!B$18:B$22,MATCH($J30,'Stats base'!$A$18:$A$22,0))*IFERROR(INDEX(Variación!C$3:C$228,MATCH($G30,Variación!$A$3:$A$228,0)),1),0)</f>
        <v>165</v>
      </c>
      <c r="L30" s="20">
        <f>ROUND(INDEX('Stats base'!C$5:C$8,MATCH($C30,'Stats base'!$A$5:$A$8,0))*INDEX('Stats base'!C$12:C$14,MATCH($E30,'Stats base'!$A$12:$A$14,0))*INDEX('Stats base'!C$18:C$22,MATCH($J30,'Stats base'!$A$18:$A$22,0))*IFERROR(INDEX(Variación!D$3:D$228,MATCH($G30,Variación!$A$3:$A$228,0)),1),1)</f>
        <v>7.5</v>
      </c>
      <c r="M30" s="20">
        <f>ROUND(INDEX('Stats base'!D$5:D$8,MATCH($C30,'Stats base'!$A$5:$A$8,0))*INDEX('Stats base'!D$12:D$14,MATCH($E30,'Stats base'!$A$12:$A$14,0))*INDEX('Stats base'!D$18:D$22,MATCH($J30,'Stats base'!$A$18:$A$22,0))*IFERROR(INDEX(Variación!E$3:E$228,MATCH($G30,Variación!$A$3:$A$228,0)),1),1)</f>
        <v>12.4</v>
      </c>
      <c r="N30" s="20">
        <f>ROUND(INDEX('Stats base'!E$5:E$8,MATCH($C30,'Stats base'!$A$5:$A$8,0))*INDEX('Stats base'!E$12:E$14,MATCH($E30,'Stats base'!$A$12:$A$14,0))*INDEX('Stats base'!E$18:E$22,MATCH($J30,'Stats base'!$A$18:$A$22,0))*IFERROR(INDEX(Variación!F$3:F$228,MATCH($G30,Variación!$A$3:$A$228,0)),1),1)</f>
        <v>10.5</v>
      </c>
      <c r="O30" s="19">
        <f>ROUND(INDEX('Stats base'!F$5:F$8,MATCH($C30,'Stats base'!$A$5:$A$8,0))*INDEX('Stats base'!F$12:F$14,MATCH($E30,'Stats base'!$A$12:$A$14,0))*INDEX('Stats base'!F$18:F$22,MATCH($J30,'Stats base'!$A$18:$A$22,0))*IFERROR(INDEX(Variación!G$3:G$228,MATCH($G30,Variación!$A$3:$A$228,0)),1),0)</f>
        <v>78</v>
      </c>
      <c r="P30" s="21">
        <f>MIN('Stats base'!$G$30,ROUND(INDEX('Stats base'!G$5:G$8,MATCH($C30,'Stats base'!$A$5:$A$8,0))*INDEX('Stats base'!G$12:G$14,MATCH($E30,'Stats base'!$A$12:$A$14,0))*INDEX('Stats base'!G$18:G$22,MATCH($J30,'Stats base'!$A$18:$A$22,0))*IFERROR(INDEX(Variación!H$3:H$228,MATCH($G30,Variación!$A$3:$A$228,0)),1),3))</f>
        <v>1.2E-2</v>
      </c>
    </row>
    <row r="31" spans="1:16" ht="34.5" hidden="1" customHeight="1" x14ac:dyDescent="0.25">
      <c r="A31" s="15" t="s">
        <v>132</v>
      </c>
      <c r="B31" s="15" t="s">
        <v>133</v>
      </c>
      <c r="C31" s="16" t="s">
        <v>37</v>
      </c>
      <c r="D31" s="17" t="s">
        <v>29</v>
      </c>
      <c r="E31" s="16" t="s">
        <v>42</v>
      </c>
      <c r="F31" s="16" t="s">
        <v>43</v>
      </c>
      <c r="G31" s="18" t="s">
        <v>134</v>
      </c>
      <c r="H31" s="18"/>
      <c r="I31" s="18" t="s">
        <v>89</v>
      </c>
      <c r="J31" s="18" t="s">
        <v>50</v>
      </c>
      <c r="K31" s="19">
        <f>ROUND(INDEX('Stats base'!B$5:B$8,MATCH($C31,'Stats base'!$A$5:$A$8,0))*INDEX('Stats base'!B$12:B$14,MATCH($E31,'Stats base'!$A$12:$A$14,0))*INDEX('Stats base'!B$18:B$22,MATCH($J31,'Stats base'!$A$18:$A$22,0))*IFERROR(INDEX(Variación!C$3:C$228,MATCH($G31,Variación!$A$3:$A$228,0)),1),0)</f>
        <v>162</v>
      </c>
      <c r="L31" s="20">
        <f>ROUND(INDEX('Stats base'!C$5:C$8,MATCH($C31,'Stats base'!$A$5:$A$8,0))*INDEX('Stats base'!C$12:C$14,MATCH($E31,'Stats base'!$A$12:$A$14,0))*INDEX('Stats base'!C$18:C$22,MATCH($J31,'Stats base'!$A$18:$A$22,0))*IFERROR(INDEX(Variación!D$3:D$228,MATCH($G31,Variación!$A$3:$A$228,0)),1),1)</f>
        <v>8.6</v>
      </c>
      <c r="M31" s="20">
        <f>ROUND(INDEX('Stats base'!D$5:D$8,MATCH($C31,'Stats base'!$A$5:$A$8,0))*INDEX('Stats base'!D$12:D$14,MATCH($E31,'Stats base'!$A$12:$A$14,0))*INDEX('Stats base'!D$18:D$22,MATCH($J31,'Stats base'!$A$18:$A$22,0))*IFERROR(INDEX(Variación!E$3:E$228,MATCH($G31,Variación!$A$3:$A$228,0)),1),1)</f>
        <v>14.8</v>
      </c>
      <c r="N31" s="20">
        <f>ROUND(INDEX('Stats base'!E$5:E$8,MATCH($C31,'Stats base'!$A$5:$A$8,0))*INDEX('Stats base'!E$12:E$14,MATCH($E31,'Stats base'!$A$12:$A$14,0))*INDEX('Stats base'!E$18:E$22,MATCH($J31,'Stats base'!$A$18:$A$22,0))*IFERROR(INDEX(Variación!F$3:F$228,MATCH($G31,Variación!$A$3:$A$228,0)),1),1)</f>
        <v>10.1</v>
      </c>
      <c r="O31" s="19">
        <f>ROUND(INDEX('Stats base'!F$5:F$8,MATCH($C31,'Stats base'!$A$5:$A$8,0))*INDEX('Stats base'!F$12:F$14,MATCH($E31,'Stats base'!$A$12:$A$14,0))*INDEX('Stats base'!F$18:F$22,MATCH($J31,'Stats base'!$A$18:$A$22,0))*IFERROR(INDEX(Variación!G$3:G$228,MATCH($G31,Variación!$A$3:$A$228,0)),1),0)</f>
        <v>79</v>
      </c>
      <c r="P31" s="21">
        <f>MIN('Stats base'!$G$30,ROUND(INDEX('Stats base'!G$5:G$8,MATCH($C31,'Stats base'!$A$5:$A$8,0))*INDEX('Stats base'!G$12:G$14,MATCH($E31,'Stats base'!$A$12:$A$14,0))*INDEX('Stats base'!G$18:G$22,MATCH($J31,'Stats base'!$A$18:$A$22,0))*IFERROR(INDEX(Variación!H$3:H$228,MATCH($G31,Variación!$A$3:$A$228,0)),1),3))</f>
        <v>1.2E-2</v>
      </c>
    </row>
    <row r="32" spans="1:16" ht="34.5" hidden="1" customHeight="1" x14ac:dyDescent="0.25">
      <c r="A32" s="15" t="s">
        <v>135</v>
      </c>
      <c r="B32" s="15" t="s">
        <v>136</v>
      </c>
      <c r="C32" s="16" t="s">
        <v>28</v>
      </c>
      <c r="D32" s="17" t="s">
        <v>29</v>
      </c>
      <c r="E32" s="16" t="s">
        <v>30</v>
      </c>
      <c r="F32" s="16" t="s">
        <v>54</v>
      </c>
      <c r="G32" s="18" t="s">
        <v>137</v>
      </c>
      <c r="H32" s="18"/>
      <c r="I32" s="18" t="s">
        <v>138</v>
      </c>
      <c r="J32" s="18" t="s">
        <v>34</v>
      </c>
      <c r="K32" s="19">
        <f>ROUND(INDEX('Stats base'!B$5:B$8,MATCH($C32,'Stats base'!$A$5:$A$8,0))*INDEX('Stats base'!B$12:B$14,MATCH($E32,'Stats base'!$A$12:$A$14,0))*INDEX('Stats base'!B$18:B$22,MATCH($J32,'Stats base'!$A$18:$A$22,0))*IFERROR(INDEX(Variación!C$3:C$228,MATCH($G32,Variación!$A$3:$A$228,0)),1),0)</f>
        <v>193</v>
      </c>
      <c r="L32" s="20">
        <f>ROUND(INDEX('Stats base'!C$5:C$8,MATCH($C32,'Stats base'!$A$5:$A$8,0))*INDEX('Stats base'!C$12:C$14,MATCH($E32,'Stats base'!$A$12:$A$14,0))*INDEX('Stats base'!C$18:C$22,MATCH($J32,'Stats base'!$A$18:$A$22,0))*IFERROR(INDEX(Variación!D$3:D$228,MATCH($G32,Variación!$A$3:$A$228,0)),1),1)</f>
        <v>12.9</v>
      </c>
      <c r="M32" s="20">
        <f>ROUND(INDEX('Stats base'!D$5:D$8,MATCH($C32,'Stats base'!$A$5:$A$8,0))*INDEX('Stats base'!D$12:D$14,MATCH($E32,'Stats base'!$A$12:$A$14,0))*INDEX('Stats base'!D$18:D$22,MATCH($J32,'Stats base'!$A$18:$A$22,0))*IFERROR(INDEX(Variación!E$3:E$228,MATCH($G32,Variación!$A$3:$A$228,0)),1),1)</f>
        <v>32.1</v>
      </c>
      <c r="N32" s="20">
        <f>ROUND(INDEX('Stats base'!E$5:E$8,MATCH($C32,'Stats base'!$A$5:$A$8,0))*INDEX('Stats base'!E$12:E$14,MATCH($E32,'Stats base'!$A$12:$A$14,0))*INDEX('Stats base'!E$18:E$22,MATCH($J32,'Stats base'!$A$18:$A$22,0))*IFERROR(INDEX(Variación!F$3:F$228,MATCH($G32,Variación!$A$3:$A$228,0)),1),1)</f>
        <v>12.3</v>
      </c>
      <c r="O32" s="19">
        <f>ROUND(INDEX('Stats base'!F$5:F$8,MATCH($C32,'Stats base'!$A$5:$A$8,0))*INDEX('Stats base'!F$12:F$14,MATCH($E32,'Stats base'!$A$12:$A$14,0))*INDEX('Stats base'!F$18:F$22,MATCH($J32,'Stats base'!$A$18:$A$22,0))*IFERROR(INDEX(Variación!G$3:G$228,MATCH($G32,Variación!$A$3:$A$228,0)),1),0)</f>
        <v>87</v>
      </c>
      <c r="P32" s="21">
        <f>MIN('Stats base'!$G$30,ROUND(INDEX('Stats base'!G$5:G$8,MATCH($C32,'Stats base'!$A$5:$A$8,0))*INDEX('Stats base'!G$12:G$14,MATCH($E32,'Stats base'!$A$12:$A$14,0))*INDEX('Stats base'!G$18:G$22,MATCH($J32,'Stats base'!$A$18:$A$22,0))*IFERROR(INDEX(Variación!H$3:H$228,MATCH($G32,Variación!$A$3:$A$228,0)),1),3))</f>
        <v>1.7000000000000001E-2</v>
      </c>
    </row>
    <row r="33" spans="1:16" ht="34.5" hidden="1" customHeight="1" x14ac:dyDescent="0.25">
      <c r="A33" s="15" t="s">
        <v>139</v>
      </c>
      <c r="B33" s="15" t="s">
        <v>140</v>
      </c>
      <c r="C33" s="16" t="s">
        <v>37</v>
      </c>
      <c r="D33" s="17" t="s">
        <v>29</v>
      </c>
      <c r="E33" s="16" t="s">
        <v>42</v>
      </c>
      <c r="F33" s="16" t="s">
        <v>43</v>
      </c>
      <c r="G33" s="18" t="s">
        <v>141</v>
      </c>
      <c r="H33" s="18"/>
      <c r="I33" s="18" t="s">
        <v>138</v>
      </c>
      <c r="J33" s="18" t="s">
        <v>70</v>
      </c>
      <c r="K33" s="19">
        <f>ROUND(INDEX('Stats base'!B$5:B$8,MATCH($C33,'Stats base'!$A$5:$A$8,0))*INDEX('Stats base'!B$12:B$14,MATCH($E33,'Stats base'!$A$12:$A$14,0))*INDEX('Stats base'!B$18:B$22,MATCH($J33,'Stats base'!$A$18:$A$22,0))*IFERROR(INDEX(Variación!C$3:C$228,MATCH($G33,Variación!$A$3:$A$228,0)),1),0)</f>
        <v>166</v>
      </c>
      <c r="L33" s="20">
        <f>ROUND(INDEX('Stats base'!C$5:C$8,MATCH($C33,'Stats base'!$A$5:$A$8,0))*INDEX('Stats base'!C$12:C$14,MATCH($E33,'Stats base'!$A$12:$A$14,0))*INDEX('Stats base'!C$18:C$22,MATCH($J33,'Stats base'!$A$18:$A$22,0))*IFERROR(INDEX(Variación!D$3:D$228,MATCH($G33,Variación!$A$3:$A$228,0)),1),1)</f>
        <v>8</v>
      </c>
      <c r="M33" s="20">
        <f>ROUND(INDEX('Stats base'!D$5:D$8,MATCH($C33,'Stats base'!$A$5:$A$8,0))*INDEX('Stats base'!D$12:D$14,MATCH($E33,'Stats base'!$A$12:$A$14,0))*INDEX('Stats base'!D$18:D$22,MATCH($J33,'Stats base'!$A$18:$A$22,0))*IFERROR(INDEX(Variación!E$3:E$228,MATCH($G33,Variación!$A$3:$A$228,0)),1),1)</f>
        <v>14.3</v>
      </c>
      <c r="N33" s="20">
        <f>ROUND(INDEX('Stats base'!E$5:E$8,MATCH($C33,'Stats base'!$A$5:$A$8,0))*INDEX('Stats base'!E$12:E$14,MATCH($E33,'Stats base'!$A$12:$A$14,0))*INDEX('Stats base'!E$18:E$22,MATCH($J33,'Stats base'!$A$18:$A$22,0))*IFERROR(INDEX(Variación!F$3:F$228,MATCH($G33,Variación!$A$3:$A$228,0)),1),1)</f>
        <v>10.8</v>
      </c>
      <c r="O33" s="19">
        <f>ROUND(INDEX('Stats base'!F$5:F$8,MATCH($C33,'Stats base'!$A$5:$A$8,0))*INDEX('Stats base'!F$12:F$14,MATCH($E33,'Stats base'!$A$12:$A$14,0))*INDEX('Stats base'!F$18:F$22,MATCH($J33,'Stats base'!$A$18:$A$22,0))*IFERROR(INDEX(Variación!G$3:G$228,MATCH($G33,Variación!$A$3:$A$228,0)),1),0)</f>
        <v>90</v>
      </c>
      <c r="P33" s="21">
        <f>MIN('Stats base'!$G$30,ROUND(INDEX('Stats base'!G$5:G$8,MATCH($C33,'Stats base'!$A$5:$A$8,0))*INDEX('Stats base'!G$12:G$14,MATCH($E33,'Stats base'!$A$12:$A$14,0))*INDEX('Stats base'!G$18:G$22,MATCH($J33,'Stats base'!$A$18:$A$22,0))*IFERROR(INDEX(Variación!H$3:H$228,MATCH($G33,Variación!$A$3:$A$228,0)),1),3))</f>
        <v>1.6E-2</v>
      </c>
    </row>
    <row r="34" spans="1:16" ht="34.5" hidden="1" customHeight="1" x14ac:dyDescent="0.25">
      <c r="A34" s="15" t="s">
        <v>142</v>
      </c>
      <c r="B34" s="15" t="s">
        <v>143</v>
      </c>
      <c r="C34" s="16" t="s">
        <v>37</v>
      </c>
      <c r="D34" s="17" t="s">
        <v>29</v>
      </c>
      <c r="E34" s="16" t="s">
        <v>30</v>
      </c>
      <c r="F34" s="16" t="s">
        <v>48</v>
      </c>
      <c r="G34" s="18" t="s">
        <v>144</v>
      </c>
      <c r="H34" s="18"/>
      <c r="I34" s="18" t="s">
        <v>138</v>
      </c>
      <c r="J34" s="18" t="s">
        <v>50</v>
      </c>
      <c r="K34" s="19">
        <f>ROUND(INDEX('Stats base'!B$5:B$8,MATCH($C34,'Stats base'!$A$5:$A$8,0))*INDEX('Stats base'!B$12:B$14,MATCH($E34,'Stats base'!$A$12:$A$14,0))*INDEX('Stats base'!B$18:B$22,MATCH($J34,'Stats base'!$A$18:$A$22,0))*IFERROR(INDEX(Variación!C$3:C$228,MATCH($G34,Variación!$A$3:$A$228,0)),1),0)</f>
        <v>142</v>
      </c>
      <c r="L34" s="20">
        <f>ROUND(INDEX('Stats base'!C$5:C$8,MATCH($C34,'Stats base'!$A$5:$A$8,0))*INDEX('Stats base'!C$12:C$14,MATCH($E34,'Stats base'!$A$12:$A$14,0))*INDEX('Stats base'!C$18:C$22,MATCH($J34,'Stats base'!$A$18:$A$22,0))*IFERROR(INDEX(Variación!D$3:D$228,MATCH($G34,Variación!$A$3:$A$228,0)),1),1)</f>
        <v>7.4</v>
      </c>
      <c r="M34" s="20">
        <f>ROUND(INDEX('Stats base'!D$5:D$8,MATCH($C34,'Stats base'!$A$5:$A$8,0))*INDEX('Stats base'!D$12:D$14,MATCH($E34,'Stats base'!$A$12:$A$14,0))*INDEX('Stats base'!D$18:D$22,MATCH($J34,'Stats base'!$A$18:$A$22,0))*IFERROR(INDEX(Variación!E$3:E$228,MATCH($G34,Variación!$A$3:$A$228,0)),1),1)</f>
        <v>12.6</v>
      </c>
      <c r="N34" s="20">
        <f>ROUND(INDEX('Stats base'!E$5:E$8,MATCH($C34,'Stats base'!$A$5:$A$8,0))*INDEX('Stats base'!E$12:E$14,MATCH($E34,'Stats base'!$A$12:$A$14,0))*INDEX('Stats base'!E$18:E$22,MATCH($J34,'Stats base'!$A$18:$A$22,0))*IFERROR(INDEX(Variación!F$3:F$228,MATCH($G34,Variación!$A$3:$A$228,0)),1),1)</f>
        <v>8.6</v>
      </c>
      <c r="O34" s="19">
        <f>ROUND(INDEX('Stats base'!F$5:F$8,MATCH($C34,'Stats base'!$A$5:$A$8,0))*INDEX('Stats base'!F$12:F$14,MATCH($E34,'Stats base'!$A$12:$A$14,0))*INDEX('Stats base'!F$18:F$22,MATCH($J34,'Stats base'!$A$18:$A$22,0))*IFERROR(INDEX(Variación!G$3:G$228,MATCH($G34,Variación!$A$3:$A$228,0)),1),0)</f>
        <v>90</v>
      </c>
      <c r="P34" s="21">
        <f>MIN('Stats base'!$G$30,ROUND(INDEX('Stats base'!G$5:G$8,MATCH($C34,'Stats base'!$A$5:$A$8,0))*INDEX('Stats base'!G$12:G$14,MATCH($E34,'Stats base'!$A$12:$A$14,0))*INDEX('Stats base'!G$18:G$22,MATCH($J34,'Stats base'!$A$18:$A$22,0))*IFERROR(INDEX(Variación!H$3:H$228,MATCH($G34,Variación!$A$3:$A$228,0)),1),3))</f>
        <v>1.4999999999999999E-2</v>
      </c>
    </row>
    <row r="35" spans="1:16" ht="34.5" hidden="1" customHeight="1" x14ac:dyDescent="0.25">
      <c r="A35" s="15" t="s">
        <v>145</v>
      </c>
      <c r="B35" s="15" t="s">
        <v>146</v>
      </c>
      <c r="C35" s="16" t="s">
        <v>58</v>
      </c>
      <c r="D35" s="17" t="s">
        <v>29</v>
      </c>
      <c r="E35" s="16" t="s">
        <v>30</v>
      </c>
      <c r="F35" s="16" t="s">
        <v>38</v>
      </c>
      <c r="G35" s="18" t="s">
        <v>147</v>
      </c>
      <c r="H35" s="18"/>
      <c r="I35" s="18" t="s">
        <v>138</v>
      </c>
      <c r="J35" s="18" t="s">
        <v>50</v>
      </c>
      <c r="K35" s="19">
        <f>ROUND(INDEX('Stats base'!B$5:B$8,MATCH($C35,'Stats base'!$A$5:$A$8,0))*INDEX('Stats base'!B$12:B$14,MATCH($E35,'Stats base'!$A$12:$A$14,0))*INDEX('Stats base'!B$18:B$22,MATCH($J35,'Stats base'!$A$18:$A$22,0))*IFERROR(INDEX(Variación!C$3:C$228,MATCH($G35,Variación!$A$3:$A$228,0)),1),0)</f>
        <v>97</v>
      </c>
      <c r="L35" s="20">
        <f>ROUND(INDEX('Stats base'!C$5:C$8,MATCH($C35,'Stats base'!$A$5:$A$8,0))*INDEX('Stats base'!C$12:C$14,MATCH($E35,'Stats base'!$A$12:$A$14,0))*INDEX('Stats base'!C$18:C$22,MATCH($J35,'Stats base'!$A$18:$A$22,0))*IFERROR(INDEX(Variación!D$3:D$228,MATCH($G35,Variación!$A$3:$A$228,0)),1),1)</f>
        <v>9.3000000000000007</v>
      </c>
      <c r="M35" s="20">
        <f>ROUND(INDEX('Stats base'!D$5:D$8,MATCH($C35,'Stats base'!$A$5:$A$8,0))*INDEX('Stats base'!D$12:D$14,MATCH($E35,'Stats base'!$A$12:$A$14,0))*INDEX('Stats base'!D$18:D$22,MATCH($J35,'Stats base'!$A$18:$A$22,0))*IFERROR(INDEX(Variación!E$3:E$228,MATCH($G35,Variación!$A$3:$A$228,0)),1),1)</f>
        <v>16.5</v>
      </c>
      <c r="N35" s="20">
        <f>ROUND(INDEX('Stats base'!E$5:E$8,MATCH($C35,'Stats base'!$A$5:$A$8,0))*INDEX('Stats base'!E$12:E$14,MATCH($E35,'Stats base'!$A$12:$A$14,0))*INDEX('Stats base'!E$18:E$22,MATCH($J35,'Stats base'!$A$18:$A$22,0))*IFERROR(INDEX(Variación!F$3:F$228,MATCH($G35,Variación!$A$3:$A$228,0)),1),1)</f>
        <v>4.3</v>
      </c>
      <c r="O35" s="19">
        <f>ROUND(INDEX('Stats base'!F$5:F$8,MATCH($C35,'Stats base'!$A$5:$A$8,0))*INDEX('Stats base'!F$12:F$14,MATCH($E35,'Stats base'!$A$12:$A$14,0))*INDEX('Stats base'!F$18:F$22,MATCH($J35,'Stats base'!$A$18:$A$22,0))*IFERROR(INDEX(Variación!G$3:G$228,MATCH($G35,Variación!$A$3:$A$228,0)),1),0)</f>
        <v>117</v>
      </c>
      <c r="P35" s="21">
        <f>MIN('Stats base'!$G$30,ROUND(INDEX('Stats base'!G$5:G$8,MATCH($C35,'Stats base'!$A$5:$A$8,0))*INDEX('Stats base'!G$12:G$14,MATCH($E35,'Stats base'!$A$12:$A$14,0))*INDEX('Stats base'!G$18:G$22,MATCH($J35,'Stats base'!$A$18:$A$22,0))*IFERROR(INDEX(Variación!H$3:H$228,MATCH($G35,Variación!$A$3:$A$228,0)),1),3))</f>
        <v>4.7E-2</v>
      </c>
    </row>
    <row r="36" spans="1:16" ht="34.5" hidden="1" customHeight="1" x14ac:dyDescent="0.25">
      <c r="A36" s="15" t="s">
        <v>148</v>
      </c>
      <c r="B36" s="15" t="s">
        <v>149</v>
      </c>
      <c r="C36" s="16" t="s">
        <v>37</v>
      </c>
      <c r="D36" s="17" t="s">
        <v>29</v>
      </c>
      <c r="E36" s="16" t="s">
        <v>30</v>
      </c>
      <c r="F36" s="16" t="s">
        <v>48</v>
      </c>
      <c r="G36" s="18" t="s">
        <v>150</v>
      </c>
      <c r="H36" s="18"/>
      <c r="I36" s="18" t="s">
        <v>138</v>
      </c>
      <c r="J36" s="18" t="s">
        <v>70</v>
      </c>
      <c r="K36" s="19">
        <f>ROUND(INDEX('Stats base'!B$5:B$8,MATCH($C36,'Stats base'!$A$5:$A$8,0))*INDEX('Stats base'!B$12:B$14,MATCH($E36,'Stats base'!$A$12:$A$14,0))*INDEX('Stats base'!B$18:B$22,MATCH($J36,'Stats base'!$A$18:$A$22,0))*IFERROR(INDEX(Variación!C$3:C$228,MATCH($G36,Variación!$A$3:$A$228,0)),1),0)</f>
        <v>136</v>
      </c>
      <c r="L36" s="20">
        <f>ROUND(INDEX('Stats base'!C$5:C$8,MATCH($C36,'Stats base'!$A$5:$A$8,0))*INDEX('Stats base'!C$12:C$14,MATCH($E36,'Stats base'!$A$12:$A$14,0))*INDEX('Stats base'!C$18:C$22,MATCH($J36,'Stats base'!$A$18:$A$22,0))*IFERROR(INDEX(Variación!D$3:D$228,MATCH($G36,Variación!$A$3:$A$228,0)),1),1)</f>
        <v>8.5</v>
      </c>
      <c r="M36" s="20">
        <f>ROUND(INDEX('Stats base'!D$5:D$8,MATCH($C36,'Stats base'!$A$5:$A$8,0))*INDEX('Stats base'!D$12:D$14,MATCH($E36,'Stats base'!$A$12:$A$14,0))*INDEX('Stats base'!D$18:D$22,MATCH($J36,'Stats base'!$A$18:$A$22,0))*IFERROR(INDEX(Variación!E$3:E$228,MATCH($G36,Variación!$A$3:$A$228,0)),1),1)</f>
        <v>14.4</v>
      </c>
      <c r="N36" s="20">
        <f>ROUND(INDEX('Stats base'!E$5:E$8,MATCH($C36,'Stats base'!$A$5:$A$8,0))*INDEX('Stats base'!E$12:E$14,MATCH($E36,'Stats base'!$A$12:$A$14,0))*INDEX('Stats base'!E$18:E$22,MATCH($J36,'Stats base'!$A$18:$A$22,0))*IFERROR(INDEX(Variación!F$3:F$228,MATCH($G36,Variación!$A$3:$A$228,0)),1),1)</f>
        <v>8.9</v>
      </c>
      <c r="O36" s="19">
        <f>ROUND(INDEX('Stats base'!F$5:F$8,MATCH($C36,'Stats base'!$A$5:$A$8,0))*INDEX('Stats base'!F$12:F$14,MATCH($E36,'Stats base'!$A$12:$A$14,0))*INDEX('Stats base'!F$18:F$22,MATCH($J36,'Stats base'!$A$18:$A$22,0))*IFERROR(INDEX(Variación!G$3:G$228,MATCH($G36,Variación!$A$3:$A$228,0)),1),0)</f>
        <v>94</v>
      </c>
      <c r="P36" s="21">
        <f>MIN('Stats base'!$G$30,ROUND(INDEX('Stats base'!G$5:G$8,MATCH($C36,'Stats base'!$A$5:$A$8,0))*INDEX('Stats base'!G$12:G$14,MATCH($E36,'Stats base'!$A$12:$A$14,0))*INDEX('Stats base'!G$18:G$22,MATCH($J36,'Stats base'!$A$18:$A$22,0))*IFERROR(INDEX(Variación!H$3:H$228,MATCH($G36,Variación!$A$3:$A$228,0)),1),3))</f>
        <v>1.7999999999999999E-2</v>
      </c>
    </row>
    <row r="37" spans="1:16" ht="34.5" hidden="1" customHeight="1" x14ac:dyDescent="0.25">
      <c r="A37" s="15" t="s">
        <v>151</v>
      </c>
      <c r="B37" s="15" t="s">
        <v>152</v>
      </c>
      <c r="C37" s="16" t="s">
        <v>58</v>
      </c>
      <c r="D37" s="17" t="s">
        <v>29</v>
      </c>
      <c r="E37" s="16" t="s">
        <v>30</v>
      </c>
      <c r="F37" s="16" t="s">
        <v>38</v>
      </c>
      <c r="G37" s="18" t="s">
        <v>153</v>
      </c>
      <c r="H37" s="18"/>
      <c r="I37" s="18" t="s">
        <v>138</v>
      </c>
      <c r="J37" s="18" t="s">
        <v>70</v>
      </c>
      <c r="K37" s="19">
        <f>ROUND(INDEX('Stats base'!B$5:B$8,MATCH($C37,'Stats base'!$A$5:$A$8,0))*INDEX('Stats base'!B$12:B$14,MATCH($E37,'Stats base'!$A$12:$A$14,0))*INDEX('Stats base'!B$18:B$22,MATCH($J37,'Stats base'!$A$18:$A$22,0))*IFERROR(INDEX(Variación!C$3:C$228,MATCH($G37,Variación!$A$3:$A$228,0)),1),0)</f>
        <v>120</v>
      </c>
      <c r="L37" s="20">
        <f>ROUND(INDEX('Stats base'!C$5:C$8,MATCH($C37,'Stats base'!$A$5:$A$8,0))*INDEX('Stats base'!C$12:C$14,MATCH($E37,'Stats base'!$A$12:$A$14,0))*INDEX('Stats base'!C$18:C$22,MATCH($J37,'Stats base'!$A$18:$A$22,0))*IFERROR(INDEX(Variación!D$3:D$228,MATCH($G37,Variación!$A$3:$A$228,0)),1),1)</f>
        <v>11.7</v>
      </c>
      <c r="M37" s="20">
        <f>ROUND(INDEX('Stats base'!D$5:D$8,MATCH($C37,'Stats base'!$A$5:$A$8,0))*INDEX('Stats base'!D$12:D$14,MATCH($E37,'Stats base'!$A$12:$A$14,0))*INDEX('Stats base'!D$18:D$22,MATCH($J37,'Stats base'!$A$18:$A$22,0))*IFERROR(INDEX(Variación!E$3:E$228,MATCH($G37,Variación!$A$3:$A$228,0)),1),1)</f>
        <v>20</v>
      </c>
      <c r="N37" s="20">
        <f>ROUND(INDEX('Stats base'!E$5:E$8,MATCH($C37,'Stats base'!$A$5:$A$8,0))*INDEX('Stats base'!E$12:E$14,MATCH($E37,'Stats base'!$A$12:$A$14,0))*INDEX('Stats base'!E$18:E$22,MATCH($J37,'Stats base'!$A$18:$A$22,0))*IFERROR(INDEX(Variación!F$3:F$228,MATCH($G37,Variación!$A$3:$A$228,0)),1),1)</f>
        <v>5.0999999999999996</v>
      </c>
      <c r="O37" s="19">
        <f>ROUND(INDEX('Stats base'!F$5:F$8,MATCH($C37,'Stats base'!$A$5:$A$8,0))*INDEX('Stats base'!F$12:F$14,MATCH($E37,'Stats base'!$A$12:$A$14,0))*INDEX('Stats base'!F$18:F$22,MATCH($J37,'Stats base'!$A$18:$A$22,0))*IFERROR(INDEX(Variación!G$3:G$228,MATCH($G37,Variación!$A$3:$A$228,0)),1),0)</f>
        <v>115</v>
      </c>
      <c r="P37" s="21">
        <f>MIN('Stats base'!$G$30,ROUND(INDEX('Stats base'!G$5:G$8,MATCH($C37,'Stats base'!$A$5:$A$8,0))*INDEX('Stats base'!G$12:G$14,MATCH($E37,'Stats base'!$A$12:$A$14,0))*INDEX('Stats base'!G$18:G$22,MATCH($J37,'Stats base'!$A$18:$A$22,0))*IFERROR(INDEX(Variación!H$3:H$228,MATCH($G37,Variación!$A$3:$A$228,0)),1),3))</f>
        <v>5.5E-2</v>
      </c>
    </row>
    <row r="38" spans="1:16" ht="34.5" hidden="1" customHeight="1" x14ac:dyDescent="0.25">
      <c r="A38" s="15" t="s">
        <v>154</v>
      </c>
      <c r="B38" s="15" t="s">
        <v>155</v>
      </c>
      <c r="C38" s="16" t="s">
        <v>58</v>
      </c>
      <c r="D38" s="17" t="s">
        <v>29</v>
      </c>
      <c r="E38" s="16" t="s">
        <v>30</v>
      </c>
      <c r="F38" s="16" t="s">
        <v>54</v>
      </c>
      <c r="G38" s="18" t="s">
        <v>156</v>
      </c>
      <c r="H38" s="18"/>
      <c r="I38" s="18" t="s">
        <v>138</v>
      </c>
      <c r="J38" s="18" t="s">
        <v>70</v>
      </c>
      <c r="K38" s="19">
        <f>ROUND(INDEX('Stats base'!B$5:B$8,MATCH($C38,'Stats base'!$A$5:$A$8,0))*INDEX('Stats base'!B$12:B$14,MATCH($E38,'Stats base'!$A$12:$A$14,0))*INDEX('Stats base'!B$18:B$22,MATCH($J38,'Stats base'!$A$18:$A$22,0))*IFERROR(INDEX(Variación!C$3:C$228,MATCH($G38,Variación!$A$3:$A$228,0)),1),0)</f>
        <v>102</v>
      </c>
      <c r="L38" s="20">
        <f>ROUND(INDEX('Stats base'!C$5:C$8,MATCH($C38,'Stats base'!$A$5:$A$8,0))*INDEX('Stats base'!C$12:C$14,MATCH($E38,'Stats base'!$A$12:$A$14,0))*INDEX('Stats base'!C$18:C$22,MATCH($J38,'Stats base'!$A$18:$A$22,0))*IFERROR(INDEX(Variación!D$3:D$228,MATCH($G38,Variación!$A$3:$A$228,0)),1),1)</f>
        <v>11.1</v>
      </c>
      <c r="M38" s="20">
        <f>ROUND(INDEX('Stats base'!D$5:D$8,MATCH($C38,'Stats base'!$A$5:$A$8,0))*INDEX('Stats base'!D$12:D$14,MATCH($E38,'Stats base'!$A$12:$A$14,0))*INDEX('Stats base'!D$18:D$22,MATCH($J38,'Stats base'!$A$18:$A$22,0))*IFERROR(INDEX(Variación!E$3:E$228,MATCH($G38,Variación!$A$3:$A$228,0)),1),1)</f>
        <v>20</v>
      </c>
      <c r="N38" s="20">
        <f>ROUND(INDEX('Stats base'!E$5:E$8,MATCH($C38,'Stats base'!$A$5:$A$8,0))*INDEX('Stats base'!E$12:E$14,MATCH($E38,'Stats base'!$A$12:$A$14,0))*INDEX('Stats base'!E$18:E$22,MATCH($J38,'Stats base'!$A$18:$A$22,0))*IFERROR(INDEX(Variación!F$3:F$228,MATCH($G38,Variación!$A$3:$A$228,0)),1),1)</f>
        <v>4.8</v>
      </c>
      <c r="O38" s="19">
        <f>ROUND(INDEX('Stats base'!F$5:F$8,MATCH($C38,'Stats base'!$A$5:$A$8,0))*INDEX('Stats base'!F$12:F$14,MATCH($E38,'Stats base'!$A$12:$A$14,0))*INDEX('Stats base'!F$18:F$22,MATCH($J38,'Stats base'!$A$18:$A$22,0))*IFERROR(INDEX(Variación!G$3:G$228,MATCH($G38,Variación!$A$3:$A$228,0)),1),0)</f>
        <v>115</v>
      </c>
      <c r="P38" s="21">
        <f>MIN('Stats base'!$G$30,ROUND(INDEX('Stats base'!G$5:G$8,MATCH($C38,'Stats base'!$A$5:$A$8,0))*INDEX('Stats base'!G$12:G$14,MATCH($E38,'Stats base'!$A$12:$A$14,0))*INDEX('Stats base'!G$18:G$22,MATCH($J38,'Stats base'!$A$18:$A$22,0))*IFERROR(INDEX(Variación!H$3:H$228,MATCH($G38,Variación!$A$3:$A$228,0)),1),3))</f>
        <v>5.3999999999999999E-2</v>
      </c>
    </row>
    <row r="39" spans="1:16" ht="34.5" hidden="1" customHeight="1" x14ac:dyDescent="0.25">
      <c r="A39" s="15" t="s">
        <v>157</v>
      </c>
      <c r="B39" s="15" t="s">
        <v>158</v>
      </c>
      <c r="C39" s="16" t="s">
        <v>58</v>
      </c>
      <c r="D39" s="17" t="s">
        <v>29</v>
      </c>
      <c r="E39" s="16" t="s">
        <v>53</v>
      </c>
      <c r="F39" s="16" t="s">
        <v>38</v>
      </c>
      <c r="G39" s="18" t="s">
        <v>159</v>
      </c>
      <c r="H39" s="18"/>
      <c r="I39" s="18" t="s">
        <v>138</v>
      </c>
      <c r="J39" s="18" t="s">
        <v>70</v>
      </c>
      <c r="K39" s="19">
        <f>ROUND(INDEX('Stats base'!B$5:B$8,MATCH($C39,'Stats base'!$A$5:$A$8,0))*INDEX('Stats base'!B$12:B$14,MATCH($E39,'Stats base'!$A$12:$A$14,0))*INDEX('Stats base'!B$18:B$22,MATCH($J39,'Stats base'!$A$18:$A$22,0))*IFERROR(INDEX(Variación!C$3:C$228,MATCH($G39,Variación!$A$3:$A$228,0)),1),0)</f>
        <v>99</v>
      </c>
      <c r="L39" s="20">
        <f>ROUND(INDEX('Stats base'!C$5:C$8,MATCH($C39,'Stats base'!$A$5:$A$8,0))*INDEX('Stats base'!C$12:C$14,MATCH($E39,'Stats base'!$A$12:$A$14,0))*INDEX('Stats base'!C$18:C$22,MATCH($J39,'Stats base'!$A$18:$A$22,0))*IFERROR(INDEX(Variación!D$3:D$228,MATCH($G39,Variación!$A$3:$A$228,0)),1),1)</f>
        <v>10.7</v>
      </c>
      <c r="M39" s="20">
        <f>ROUND(INDEX('Stats base'!D$5:D$8,MATCH($C39,'Stats base'!$A$5:$A$8,0))*INDEX('Stats base'!D$12:D$14,MATCH($E39,'Stats base'!$A$12:$A$14,0))*INDEX('Stats base'!D$18:D$22,MATCH($J39,'Stats base'!$A$18:$A$22,0))*IFERROR(INDEX(Variación!E$3:E$228,MATCH($G39,Variación!$A$3:$A$228,0)),1),1)</f>
        <v>17.7</v>
      </c>
      <c r="N39" s="20">
        <f>ROUND(INDEX('Stats base'!E$5:E$8,MATCH($C39,'Stats base'!$A$5:$A$8,0))*INDEX('Stats base'!E$12:E$14,MATCH($E39,'Stats base'!$A$12:$A$14,0))*INDEX('Stats base'!E$18:E$22,MATCH($J39,'Stats base'!$A$18:$A$22,0))*IFERROR(INDEX(Variación!F$3:F$228,MATCH($G39,Variación!$A$3:$A$228,0)),1),1)</f>
        <v>4.5</v>
      </c>
      <c r="O39" s="19">
        <f>ROUND(INDEX('Stats base'!F$5:F$8,MATCH($C39,'Stats base'!$A$5:$A$8,0))*INDEX('Stats base'!F$12:F$14,MATCH($E39,'Stats base'!$A$12:$A$14,0))*INDEX('Stats base'!F$18:F$22,MATCH($J39,'Stats base'!$A$18:$A$22,0))*IFERROR(INDEX(Variación!G$3:G$228,MATCH($G39,Variación!$A$3:$A$228,0)),1),0)</f>
        <v>130</v>
      </c>
      <c r="P39" s="21">
        <f>MIN('Stats base'!$G$30,ROUND(INDEX('Stats base'!G$5:G$8,MATCH($C39,'Stats base'!$A$5:$A$8,0))*INDEX('Stats base'!G$12:G$14,MATCH($E39,'Stats base'!$A$12:$A$14,0))*INDEX('Stats base'!G$18:G$22,MATCH($J39,'Stats base'!$A$18:$A$22,0))*IFERROR(INDEX(Variación!H$3:H$228,MATCH($G39,Variación!$A$3:$A$228,0)),1),3))</f>
        <v>0.06</v>
      </c>
    </row>
    <row r="40" spans="1:16" ht="34.5" hidden="1" customHeight="1" x14ac:dyDescent="0.25">
      <c r="A40" s="15" t="s">
        <v>160</v>
      </c>
      <c r="B40" s="15" t="s">
        <v>161</v>
      </c>
      <c r="C40" s="16" t="s">
        <v>68</v>
      </c>
      <c r="D40" s="17" t="s">
        <v>29</v>
      </c>
      <c r="E40" s="16" t="s">
        <v>30</v>
      </c>
      <c r="F40" s="16" t="s">
        <v>48</v>
      </c>
      <c r="G40" s="18" t="s">
        <v>162</v>
      </c>
      <c r="H40" s="18"/>
      <c r="I40" s="18" t="s">
        <v>138</v>
      </c>
      <c r="J40" s="18" t="s">
        <v>70</v>
      </c>
      <c r="K40" s="19">
        <f>ROUND(INDEX('Stats base'!B$5:B$8,MATCH($C40,'Stats base'!$A$5:$A$8,0))*INDEX('Stats base'!B$12:B$14,MATCH($E40,'Stats base'!$A$12:$A$14,0))*INDEX('Stats base'!B$18:B$22,MATCH($J40,'Stats base'!$A$18:$A$22,0))*IFERROR(INDEX(Variación!C$3:C$228,MATCH($G40,Variación!$A$3:$A$228,0)),1),0)</f>
        <v>91</v>
      </c>
      <c r="L40" s="20">
        <f>ROUND(INDEX('Stats base'!C$5:C$8,MATCH($C40,'Stats base'!$A$5:$A$8,0))*INDEX('Stats base'!C$12:C$14,MATCH($E40,'Stats base'!$A$12:$A$14,0))*INDEX('Stats base'!C$18:C$22,MATCH($J40,'Stats base'!$A$18:$A$22,0))*IFERROR(INDEX(Variación!D$3:D$228,MATCH($G40,Variación!$A$3:$A$228,0)),1),1)</f>
        <v>15.2</v>
      </c>
      <c r="M40" s="20">
        <f>ROUND(INDEX('Stats base'!D$5:D$8,MATCH($C40,'Stats base'!$A$5:$A$8,0))*INDEX('Stats base'!D$12:D$14,MATCH($E40,'Stats base'!$A$12:$A$14,0))*INDEX('Stats base'!D$18:D$22,MATCH($J40,'Stats base'!$A$18:$A$22,0))*IFERROR(INDEX(Variación!E$3:E$228,MATCH($G40,Variación!$A$3:$A$228,0)),1),1)</f>
        <v>25.8</v>
      </c>
      <c r="N40" s="20">
        <f>ROUND(INDEX('Stats base'!E$5:E$8,MATCH($C40,'Stats base'!$A$5:$A$8,0))*INDEX('Stats base'!E$12:E$14,MATCH($E40,'Stats base'!$A$12:$A$14,0))*INDEX('Stats base'!E$18:E$22,MATCH($J40,'Stats base'!$A$18:$A$22,0))*IFERROR(INDEX(Variación!F$3:F$228,MATCH($G40,Variación!$A$3:$A$228,0)),1),1)</f>
        <v>3.5</v>
      </c>
      <c r="O40" s="19">
        <f>ROUND(INDEX('Stats base'!F$5:F$8,MATCH($C40,'Stats base'!$A$5:$A$8,0))*INDEX('Stats base'!F$12:F$14,MATCH($E40,'Stats base'!$A$12:$A$14,0))*INDEX('Stats base'!F$18:F$22,MATCH($J40,'Stats base'!$A$18:$A$22,0))*IFERROR(INDEX(Variación!G$3:G$228,MATCH($G40,Variación!$A$3:$A$228,0)),1),0)</f>
        <v>99</v>
      </c>
      <c r="P40" s="21">
        <f>MIN('Stats base'!$G$30,ROUND(INDEX('Stats base'!G$5:G$8,MATCH($C40,'Stats base'!$A$5:$A$8,0))*INDEX('Stats base'!G$12:G$14,MATCH($E40,'Stats base'!$A$12:$A$14,0))*INDEX('Stats base'!G$18:G$22,MATCH($J40,'Stats base'!$A$18:$A$22,0))*IFERROR(INDEX(Variación!H$3:H$228,MATCH($G40,Variación!$A$3:$A$228,0)),1),3))</f>
        <v>0.03</v>
      </c>
    </row>
    <row r="41" spans="1:16" ht="34.5" hidden="1" customHeight="1" x14ac:dyDescent="0.25">
      <c r="A41" s="15" t="s">
        <v>163</v>
      </c>
      <c r="B41" s="15" t="s">
        <v>164</v>
      </c>
      <c r="C41" s="16" t="s">
        <v>68</v>
      </c>
      <c r="D41" s="17" t="s">
        <v>29</v>
      </c>
      <c r="E41" s="16" t="s">
        <v>30</v>
      </c>
      <c r="F41" s="16" t="s">
        <v>31</v>
      </c>
      <c r="G41" s="18" t="s">
        <v>165</v>
      </c>
      <c r="H41" s="18"/>
      <c r="I41" s="18" t="s">
        <v>138</v>
      </c>
      <c r="J41" s="18" t="s">
        <v>45</v>
      </c>
      <c r="K41" s="19">
        <f>ROUND(INDEX('Stats base'!B$5:B$8,MATCH($C41,'Stats base'!$A$5:$A$8,0))*INDEX('Stats base'!B$12:B$14,MATCH($E41,'Stats base'!$A$12:$A$14,0))*INDEX('Stats base'!B$18:B$22,MATCH($J41,'Stats base'!$A$18:$A$22,0))*IFERROR(INDEX(Variación!C$3:C$228,MATCH($G41,Variación!$A$3:$A$228,0)),1),0)</f>
        <v>116</v>
      </c>
      <c r="L41" s="20">
        <f>ROUND(INDEX('Stats base'!C$5:C$8,MATCH($C41,'Stats base'!$A$5:$A$8,0))*INDEX('Stats base'!C$12:C$14,MATCH($E41,'Stats base'!$A$12:$A$14,0))*INDEX('Stats base'!C$18:C$22,MATCH($J41,'Stats base'!$A$18:$A$22,0))*IFERROR(INDEX(Variación!D$3:D$228,MATCH($G41,Variación!$A$3:$A$228,0)),1),1)</f>
        <v>14.8</v>
      </c>
      <c r="M41" s="20">
        <f>ROUND(INDEX('Stats base'!D$5:D$8,MATCH($C41,'Stats base'!$A$5:$A$8,0))*INDEX('Stats base'!D$12:D$14,MATCH($E41,'Stats base'!$A$12:$A$14,0))*INDEX('Stats base'!D$18:D$22,MATCH($J41,'Stats base'!$A$18:$A$22,0))*IFERROR(INDEX(Variación!E$3:E$228,MATCH($G41,Variación!$A$3:$A$228,0)),1),1)</f>
        <v>24.7</v>
      </c>
      <c r="N41" s="20">
        <f>ROUND(INDEX('Stats base'!E$5:E$8,MATCH($C41,'Stats base'!$A$5:$A$8,0))*INDEX('Stats base'!E$12:E$14,MATCH($E41,'Stats base'!$A$12:$A$14,0))*INDEX('Stats base'!E$18:E$22,MATCH($J41,'Stats base'!$A$18:$A$22,0))*IFERROR(INDEX(Variación!F$3:F$228,MATCH($G41,Variación!$A$3:$A$228,0)),1),1)</f>
        <v>4.2</v>
      </c>
      <c r="O41" s="19">
        <f>ROUND(INDEX('Stats base'!F$5:F$8,MATCH($C41,'Stats base'!$A$5:$A$8,0))*INDEX('Stats base'!F$12:F$14,MATCH($E41,'Stats base'!$A$12:$A$14,0))*INDEX('Stats base'!F$18:F$22,MATCH($J41,'Stats base'!$A$18:$A$22,0))*IFERROR(INDEX(Variación!G$3:G$228,MATCH($G41,Variación!$A$3:$A$228,0)),1),0)</f>
        <v>112</v>
      </c>
      <c r="P41" s="21">
        <f>MIN('Stats base'!$G$30,ROUND(INDEX('Stats base'!G$5:G$8,MATCH($C41,'Stats base'!$A$5:$A$8,0))*INDEX('Stats base'!G$12:G$14,MATCH($E41,'Stats base'!$A$12:$A$14,0))*INDEX('Stats base'!G$18:G$22,MATCH($J41,'Stats base'!$A$18:$A$22,0))*IFERROR(INDEX(Variación!H$3:H$228,MATCH($G41,Variación!$A$3:$A$228,0)),1),3))</f>
        <v>3.5999999999999997E-2</v>
      </c>
    </row>
    <row r="42" spans="1:16" ht="34.5" hidden="1" customHeight="1" x14ac:dyDescent="0.25">
      <c r="A42" s="15" t="s">
        <v>166</v>
      </c>
      <c r="B42" s="15" t="s">
        <v>167</v>
      </c>
      <c r="C42" s="16" t="s">
        <v>28</v>
      </c>
      <c r="D42" s="17" t="s">
        <v>29</v>
      </c>
      <c r="E42" s="16" t="s">
        <v>42</v>
      </c>
      <c r="F42" s="16" t="s">
        <v>48</v>
      </c>
      <c r="G42" s="18" t="s">
        <v>168</v>
      </c>
      <c r="H42" s="18"/>
      <c r="I42" s="18" t="s">
        <v>138</v>
      </c>
      <c r="J42" s="18" t="s">
        <v>50</v>
      </c>
      <c r="K42" s="19">
        <f>ROUND(INDEX('Stats base'!B$5:B$8,MATCH($C42,'Stats base'!$A$5:$A$8,0))*INDEX('Stats base'!B$12:B$14,MATCH($E42,'Stats base'!$A$12:$A$14,0))*INDEX('Stats base'!B$18:B$22,MATCH($J42,'Stats base'!$A$18:$A$22,0))*IFERROR(INDEX(Variación!C$3:C$228,MATCH($G42,Variación!$A$3:$A$228,0)),1),0)</f>
        <v>157</v>
      </c>
      <c r="L42" s="20">
        <f>ROUND(INDEX('Stats base'!C$5:C$8,MATCH($C42,'Stats base'!$A$5:$A$8,0))*INDEX('Stats base'!C$12:C$14,MATCH($E42,'Stats base'!$A$12:$A$14,0))*INDEX('Stats base'!C$18:C$22,MATCH($J42,'Stats base'!$A$18:$A$22,0))*IFERROR(INDEX(Variación!D$3:D$228,MATCH($G42,Variación!$A$3:$A$228,0)),1),1)</f>
        <v>9.9</v>
      </c>
      <c r="M42" s="20">
        <f>ROUND(INDEX('Stats base'!D$5:D$8,MATCH($C42,'Stats base'!$A$5:$A$8,0))*INDEX('Stats base'!D$12:D$14,MATCH($E42,'Stats base'!$A$12:$A$14,0))*INDEX('Stats base'!D$18:D$22,MATCH($J42,'Stats base'!$A$18:$A$22,0))*IFERROR(INDEX(Variación!E$3:E$228,MATCH($G42,Variación!$A$3:$A$228,0)),1),1)</f>
        <v>20.3</v>
      </c>
      <c r="N42" s="20">
        <f>ROUND(INDEX('Stats base'!E$5:E$8,MATCH($C42,'Stats base'!$A$5:$A$8,0))*INDEX('Stats base'!E$12:E$14,MATCH($E42,'Stats base'!$A$12:$A$14,0))*INDEX('Stats base'!E$18:E$22,MATCH($J42,'Stats base'!$A$18:$A$22,0))*IFERROR(INDEX(Variación!F$3:F$228,MATCH($G42,Variación!$A$3:$A$228,0)),1),1)</f>
        <v>9.1</v>
      </c>
      <c r="O42" s="19">
        <f>ROUND(INDEX('Stats base'!F$5:F$8,MATCH($C42,'Stats base'!$A$5:$A$8,0))*INDEX('Stats base'!F$12:F$14,MATCH($E42,'Stats base'!$A$12:$A$14,0))*INDEX('Stats base'!F$18:F$22,MATCH($J42,'Stats base'!$A$18:$A$22,0))*IFERROR(INDEX(Variación!G$3:G$228,MATCH($G42,Variación!$A$3:$A$228,0)),1),0)</f>
        <v>71</v>
      </c>
      <c r="P42" s="21">
        <f>MIN('Stats base'!$G$30,ROUND(INDEX('Stats base'!G$5:G$8,MATCH($C42,'Stats base'!$A$5:$A$8,0))*INDEX('Stats base'!G$12:G$14,MATCH($E42,'Stats base'!$A$12:$A$14,0))*INDEX('Stats base'!G$18:G$22,MATCH($J42,'Stats base'!$A$18:$A$22,0))*IFERROR(INDEX(Variación!H$3:H$228,MATCH($G42,Variación!$A$3:$A$228,0)),1),3))</f>
        <v>8.0000000000000002E-3</v>
      </c>
    </row>
    <row r="43" spans="1:16" ht="34.5" hidden="1" customHeight="1" x14ac:dyDescent="0.25">
      <c r="A43" s="15" t="s">
        <v>169</v>
      </c>
      <c r="B43" s="15" t="s">
        <v>170</v>
      </c>
      <c r="C43" s="16" t="s">
        <v>68</v>
      </c>
      <c r="D43" s="17" t="s">
        <v>29</v>
      </c>
      <c r="E43" s="16" t="s">
        <v>30</v>
      </c>
      <c r="F43" s="16" t="s">
        <v>75</v>
      </c>
      <c r="G43" s="18" t="s">
        <v>171</v>
      </c>
      <c r="H43" s="18"/>
      <c r="I43" s="18" t="s">
        <v>138</v>
      </c>
      <c r="J43" s="18" t="s">
        <v>50</v>
      </c>
      <c r="K43" s="19">
        <f>ROUND(INDEX('Stats base'!B$5:B$8,MATCH($C43,'Stats base'!$A$5:$A$8,0))*INDEX('Stats base'!B$12:B$14,MATCH($E43,'Stats base'!$A$12:$A$14,0))*INDEX('Stats base'!B$18:B$22,MATCH($J43,'Stats base'!$A$18:$A$22,0))*IFERROR(INDEX(Variación!C$3:C$228,MATCH($G43,Variación!$A$3:$A$228,0)),1),0)</f>
        <v>86</v>
      </c>
      <c r="L43" s="20">
        <f>ROUND(INDEX('Stats base'!C$5:C$8,MATCH($C43,'Stats base'!$A$5:$A$8,0))*INDEX('Stats base'!C$12:C$14,MATCH($E43,'Stats base'!$A$12:$A$14,0))*INDEX('Stats base'!C$18:C$22,MATCH($J43,'Stats base'!$A$18:$A$22,0))*IFERROR(INDEX(Variación!D$3:D$228,MATCH($G43,Variación!$A$3:$A$228,0)),1),1)</f>
        <v>12.9</v>
      </c>
      <c r="M43" s="20">
        <f>ROUND(INDEX('Stats base'!D$5:D$8,MATCH($C43,'Stats base'!$A$5:$A$8,0))*INDEX('Stats base'!D$12:D$14,MATCH($E43,'Stats base'!$A$12:$A$14,0))*INDEX('Stats base'!D$18:D$22,MATCH($J43,'Stats base'!$A$18:$A$22,0))*IFERROR(INDEX(Variación!E$3:E$228,MATCH($G43,Variación!$A$3:$A$228,0)),1),1)</f>
        <v>22.8</v>
      </c>
      <c r="N43" s="20">
        <f>ROUND(INDEX('Stats base'!E$5:E$8,MATCH($C43,'Stats base'!$A$5:$A$8,0))*INDEX('Stats base'!E$12:E$14,MATCH($E43,'Stats base'!$A$12:$A$14,0))*INDEX('Stats base'!E$18:E$22,MATCH($J43,'Stats base'!$A$18:$A$22,0))*IFERROR(INDEX(Variación!F$3:F$228,MATCH($G43,Variación!$A$3:$A$228,0)),1),1)</f>
        <v>3.3</v>
      </c>
      <c r="O43" s="19">
        <f>ROUND(INDEX('Stats base'!F$5:F$8,MATCH($C43,'Stats base'!$A$5:$A$8,0))*INDEX('Stats base'!F$12:F$14,MATCH($E43,'Stats base'!$A$12:$A$14,0))*INDEX('Stats base'!F$18:F$22,MATCH($J43,'Stats base'!$A$18:$A$22,0))*IFERROR(INDEX(Variación!G$3:G$228,MATCH($G43,Variación!$A$3:$A$228,0)),1),0)</f>
        <v>111</v>
      </c>
      <c r="P43" s="21">
        <f>MIN('Stats base'!$G$30,ROUND(INDEX('Stats base'!G$5:G$8,MATCH($C43,'Stats base'!$A$5:$A$8,0))*INDEX('Stats base'!G$12:G$14,MATCH($E43,'Stats base'!$A$12:$A$14,0))*INDEX('Stats base'!G$18:G$22,MATCH($J43,'Stats base'!$A$18:$A$22,0))*IFERROR(INDEX(Variación!H$3:H$228,MATCH($G43,Variación!$A$3:$A$228,0)),1),3))</f>
        <v>2.8000000000000001E-2</v>
      </c>
    </row>
    <row r="44" spans="1:16" ht="34.5" hidden="1" customHeight="1" x14ac:dyDescent="0.25">
      <c r="A44" s="15" t="s">
        <v>172</v>
      </c>
      <c r="B44" s="15" t="s">
        <v>173</v>
      </c>
      <c r="C44" s="16" t="s">
        <v>68</v>
      </c>
      <c r="D44" s="17" t="s">
        <v>29</v>
      </c>
      <c r="E44" s="16" t="s">
        <v>53</v>
      </c>
      <c r="F44" s="16" t="s">
        <v>38</v>
      </c>
      <c r="G44" s="18" t="s">
        <v>174</v>
      </c>
      <c r="H44" s="18"/>
      <c r="I44" s="18" t="s">
        <v>138</v>
      </c>
      <c r="J44" s="18" t="s">
        <v>50</v>
      </c>
      <c r="K44" s="19">
        <f>ROUND(INDEX('Stats base'!B$5:B$8,MATCH($C44,'Stats base'!$A$5:$A$8,0))*INDEX('Stats base'!B$12:B$14,MATCH($E44,'Stats base'!$A$12:$A$14,0))*INDEX('Stats base'!B$18:B$22,MATCH($J44,'Stats base'!$A$18:$A$22,0))*IFERROR(INDEX(Variación!C$3:C$228,MATCH($G44,Variación!$A$3:$A$228,0)),1),0)</f>
        <v>86</v>
      </c>
      <c r="L44" s="20">
        <f>ROUND(INDEX('Stats base'!C$5:C$8,MATCH($C44,'Stats base'!$A$5:$A$8,0))*INDEX('Stats base'!C$12:C$14,MATCH($E44,'Stats base'!$A$12:$A$14,0))*INDEX('Stats base'!C$18:C$22,MATCH($J44,'Stats base'!$A$18:$A$22,0))*IFERROR(INDEX(Variación!D$3:D$228,MATCH($G44,Variación!$A$3:$A$228,0)),1),1)</f>
        <v>12.4</v>
      </c>
      <c r="M44" s="20">
        <f>ROUND(INDEX('Stats base'!D$5:D$8,MATCH($C44,'Stats base'!$A$5:$A$8,0))*INDEX('Stats base'!D$12:D$14,MATCH($E44,'Stats base'!$A$12:$A$14,0))*INDEX('Stats base'!D$18:D$22,MATCH($J44,'Stats base'!$A$18:$A$22,0))*IFERROR(INDEX(Variación!E$3:E$228,MATCH($G44,Variación!$A$3:$A$228,0)),1),1)</f>
        <v>20.9</v>
      </c>
      <c r="N44" s="20">
        <f>ROUND(INDEX('Stats base'!E$5:E$8,MATCH($C44,'Stats base'!$A$5:$A$8,0))*INDEX('Stats base'!E$12:E$14,MATCH($E44,'Stats base'!$A$12:$A$14,0))*INDEX('Stats base'!E$18:E$22,MATCH($J44,'Stats base'!$A$18:$A$22,0))*IFERROR(INDEX(Variación!F$3:F$228,MATCH($G44,Variación!$A$3:$A$228,0)),1),1)</f>
        <v>2.9</v>
      </c>
      <c r="O44" s="19">
        <f>ROUND(INDEX('Stats base'!F$5:F$8,MATCH($C44,'Stats base'!$A$5:$A$8,0))*INDEX('Stats base'!F$12:F$14,MATCH($E44,'Stats base'!$A$12:$A$14,0))*INDEX('Stats base'!F$18:F$22,MATCH($J44,'Stats base'!$A$18:$A$22,0))*IFERROR(INDEX(Variación!G$3:G$228,MATCH($G44,Variación!$A$3:$A$228,0)),1),0)</f>
        <v>103</v>
      </c>
      <c r="P44" s="21">
        <f>MIN('Stats base'!$G$30,ROUND(INDEX('Stats base'!G$5:G$8,MATCH($C44,'Stats base'!$A$5:$A$8,0))*INDEX('Stats base'!G$12:G$14,MATCH($E44,'Stats base'!$A$12:$A$14,0))*INDEX('Stats base'!G$18:G$22,MATCH($J44,'Stats base'!$A$18:$A$22,0))*IFERROR(INDEX(Variación!H$3:H$228,MATCH($G44,Variación!$A$3:$A$228,0)),1),3))</f>
        <v>2.7E-2</v>
      </c>
    </row>
    <row r="45" spans="1:16" ht="34.5" hidden="1" customHeight="1" x14ac:dyDescent="0.25">
      <c r="A45" s="15" t="s">
        <v>175</v>
      </c>
      <c r="B45" s="15" t="s">
        <v>176</v>
      </c>
      <c r="C45" s="16" t="s">
        <v>58</v>
      </c>
      <c r="D45" s="17" t="s">
        <v>29</v>
      </c>
      <c r="E45" s="16" t="s">
        <v>42</v>
      </c>
      <c r="F45" s="16" t="s">
        <v>38</v>
      </c>
      <c r="G45" s="18" t="s">
        <v>177</v>
      </c>
      <c r="H45" s="18"/>
      <c r="I45" s="18" t="s">
        <v>138</v>
      </c>
      <c r="J45" s="18" t="s">
        <v>50</v>
      </c>
      <c r="K45" s="19">
        <f>ROUND(INDEX('Stats base'!B$5:B$8,MATCH($C45,'Stats base'!$A$5:$A$8,0))*INDEX('Stats base'!B$12:B$14,MATCH($E45,'Stats base'!$A$12:$A$14,0))*INDEX('Stats base'!B$18:B$22,MATCH($J45,'Stats base'!$A$18:$A$22,0))*IFERROR(INDEX(Variación!C$3:C$228,MATCH($G45,Variación!$A$3:$A$228,0)),1),0)</f>
        <v>98</v>
      </c>
      <c r="L45" s="20">
        <f>ROUND(INDEX('Stats base'!C$5:C$8,MATCH($C45,'Stats base'!$A$5:$A$8,0))*INDEX('Stats base'!C$12:C$14,MATCH($E45,'Stats base'!$A$12:$A$14,0))*INDEX('Stats base'!C$18:C$22,MATCH($J45,'Stats base'!$A$18:$A$22,0))*IFERROR(INDEX(Variación!D$3:D$228,MATCH($G45,Variación!$A$3:$A$228,0)),1),1)</f>
        <v>10.5</v>
      </c>
      <c r="M45" s="20">
        <f>ROUND(INDEX('Stats base'!D$5:D$8,MATCH($C45,'Stats base'!$A$5:$A$8,0))*INDEX('Stats base'!D$12:D$14,MATCH($E45,'Stats base'!$A$12:$A$14,0))*INDEX('Stats base'!D$18:D$22,MATCH($J45,'Stats base'!$A$18:$A$22,0))*IFERROR(INDEX(Variación!E$3:E$228,MATCH($G45,Variación!$A$3:$A$228,0)),1),1)</f>
        <v>18.399999999999999</v>
      </c>
      <c r="N45" s="20">
        <f>ROUND(INDEX('Stats base'!E$5:E$8,MATCH($C45,'Stats base'!$A$5:$A$8,0))*INDEX('Stats base'!E$12:E$14,MATCH($E45,'Stats base'!$A$12:$A$14,0))*INDEX('Stats base'!E$18:E$22,MATCH($J45,'Stats base'!$A$18:$A$22,0))*IFERROR(INDEX(Variación!F$3:F$228,MATCH($G45,Variación!$A$3:$A$228,0)),1),1)</f>
        <v>4.3</v>
      </c>
      <c r="O45" s="19">
        <f>ROUND(INDEX('Stats base'!F$5:F$8,MATCH($C45,'Stats base'!$A$5:$A$8,0))*INDEX('Stats base'!F$12:F$14,MATCH($E45,'Stats base'!$A$12:$A$14,0))*INDEX('Stats base'!F$18:F$22,MATCH($J45,'Stats base'!$A$18:$A$22,0))*IFERROR(INDEX(Variación!G$3:G$228,MATCH($G45,Variación!$A$3:$A$228,0)),1),0)</f>
        <v>96</v>
      </c>
      <c r="P45" s="21">
        <f>MIN('Stats base'!$G$30,ROUND(INDEX('Stats base'!G$5:G$8,MATCH($C45,'Stats base'!$A$5:$A$8,0))*INDEX('Stats base'!G$12:G$14,MATCH($E45,'Stats base'!$A$12:$A$14,0))*INDEX('Stats base'!G$18:G$22,MATCH($J45,'Stats base'!$A$18:$A$22,0))*IFERROR(INDEX(Variación!H$3:H$228,MATCH($G45,Variación!$A$3:$A$228,0)),1),3))</f>
        <v>3.7999999999999999E-2</v>
      </c>
    </row>
    <row r="46" spans="1:16" ht="34.5" hidden="1" customHeight="1" x14ac:dyDescent="0.25">
      <c r="A46" s="15" t="s">
        <v>178</v>
      </c>
      <c r="B46" s="15" t="s">
        <v>179</v>
      </c>
      <c r="C46" s="16" t="s">
        <v>68</v>
      </c>
      <c r="D46" s="17" t="s">
        <v>29</v>
      </c>
      <c r="E46" s="16" t="s">
        <v>30</v>
      </c>
      <c r="F46" s="16" t="s">
        <v>43</v>
      </c>
      <c r="G46" s="18" t="s">
        <v>180</v>
      </c>
      <c r="H46" s="18"/>
      <c r="I46" s="18" t="s">
        <v>138</v>
      </c>
      <c r="J46" s="18" t="s">
        <v>50</v>
      </c>
      <c r="K46" s="19">
        <f>ROUND(INDEX('Stats base'!B$5:B$8,MATCH($C46,'Stats base'!$A$5:$A$8,0))*INDEX('Stats base'!B$12:B$14,MATCH($E46,'Stats base'!$A$12:$A$14,0))*INDEX('Stats base'!B$18:B$22,MATCH($J46,'Stats base'!$A$18:$A$22,0))*IFERROR(INDEX(Variación!C$3:C$228,MATCH($G46,Variación!$A$3:$A$228,0)),1),0)</f>
        <v>84</v>
      </c>
      <c r="L46" s="20">
        <f>ROUND(INDEX('Stats base'!C$5:C$8,MATCH($C46,'Stats base'!$A$5:$A$8,0))*INDEX('Stats base'!C$12:C$14,MATCH($E46,'Stats base'!$A$12:$A$14,0))*INDEX('Stats base'!C$18:C$22,MATCH($J46,'Stats base'!$A$18:$A$22,0))*IFERROR(INDEX(Variación!D$3:D$228,MATCH($G46,Variación!$A$3:$A$228,0)),1),1)</f>
        <v>15.5</v>
      </c>
      <c r="M46" s="20">
        <f>ROUND(INDEX('Stats base'!D$5:D$8,MATCH($C46,'Stats base'!$A$5:$A$8,0))*INDEX('Stats base'!D$12:D$14,MATCH($E46,'Stats base'!$A$12:$A$14,0))*INDEX('Stats base'!D$18:D$22,MATCH($J46,'Stats base'!$A$18:$A$22,0))*IFERROR(INDEX(Variación!E$3:E$228,MATCH($G46,Variación!$A$3:$A$228,0)),1),1)</f>
        <v>25.8</v>
      </c>
      <c r="N46" s="20">
        <f>ROUND(INDEX('Stats base'!E$5:E$8,MATCH($C46,'Stats base'!$A$5:$A$8,0))*INDEX('Stats base'!E$12:E$14,MATCH($E46,'Stats base'!$A$12:$A$14,0))*INDEX('Stats base'!E$18:E$22,MATCH($J46,'Stats base'!$A$18:$A$22,0))*IFERROR(INDEX(Variación!F$3:F$228,MATCH($G46,Variación!$A$3:$A$228,0)),1),1)</f>
        <v>3.1</v>
      </c>
      <c r="O46" s="19">
        <f>ROUND(INDEX('Stats base'!F$5:F$8,MATCH($C46,'Stats base'!$A$5:$A$8,0))*INDEX('Stats base'!F$12:F$14,MATCH($E46,'Stats base'!$A$12:$A$14,0))*INDEX('Stats base'!F$18:F$22,MATCH($J46,'Stats base'!$A$18:$A$22,0))*IFERROR(INDEX(Variación!G$3:G$228,MATCH($G46,Variación!$A$3:$A$228,0)),1),0)</f>
        <v>91</v>
      </c>
      <c r="P46" s="21">
        <f>MIN('Stats base'!$G$30,ROUND(INDEX('Stats base'!G$5:G$8,MATCH($C46,'Stats base'!$A$5:$A$8,0))*INDEX('Stats base'!G$12:G$14,MATCH($E46,'Stats base'!$A$12:$A$14,0))*INDEX('Stats base'!G$18:G$22,MATCH($J46,'Stats base'!$A$18:$A$22,0))*IFERROR(INDEX(Variación!H$3:H$228,MATCH($G46,Variación!$A$3:$A$228,0)),1),3))</f>
        <v>2.3E-2</v>
      </c>
    </row>
    <row r="47" spans="1:16" ht="34.5" hidden="1" customHeight="1" x14ac:dyDescent="0.25">
      <c r="A47" s="15" t="s">
        <v>181</v>
      </c>
      <c r="B47" s="15" t="s">
        <v>182</v>
      </c>
      <c r="C47" s="16" t="s">
        <v>58</v>
      </c>
      <c r="D47" s="17" t="s">
        <v>29</v>
      </c>
      <c r="E47" s="16" t="s">
        <v>30</v>
      </c>
      <c r="F47" s="16" t="s">
        <v>38</v>
      </c>
      <c r="G47" s="18" t="s">
        <v>183</v>
      </c>
      <c r="H47" s="18"/>
      <c r="I47" s="18" t="s">
        <v>184</v>
      </c>
      <c r="J47" s="18" t="s">
        <v>50</v>
      </c>
      <c r="K47" s="19">
        <f>ROUND(INDEX('Stats base'!B$5:B$8,MATCH($C47,'Stats base'!$A$5:$A$8,0))*INDEX('Stats base'!B$12:B$14,MATCH($E47,'Stats base'!$A$12:$A$14,0))*INDEX('Stats base'!B$18:B$22,MATCH($J47,'Stats base'!$A$18:$A$22,0))*IFERROR(INDEX(Variación!C$3:C$228,MATCH($G47,Variación!$A$3:$A$228,0)),1),0)</f>
        <v>104</v>
      </c>
      <c r="L47" s="20">
        <f>ROUND(INDEX('Stats base'!C$5:C$8,MATCH($C47,'Stats base'!$A$5:$A$8,0))*INDEX('Stats base'!C$12:C$14,MATCH($E47,'Stats base'!$A$12:$A$14,0))*INDEX('Stats base'!C$18:C$22,MATCH($J47,'Stats base'!$A$18:$A$22,0))*IFERROR(INDEX(Variación!D$3:D$228,MATCH($G47,Variación!$A$3:$A$228,0)),1),1)</f>
        <v>10.5</v>
      </c>
      <c r="M47" s="20">
        <f>ROUND(INDEX('Stats base'!D$5:D$8,MATCH($C47,'Stats base'!$A$5:$A$8,0))*INDEX('Stats base'!D$12:D$14,MATCH($E47,'Stats base'!$A$12:$A$14,0))*INDEX('Stats base'!D$18:D$22,MATCH($J47,'Stats base'!$A$18:$A$22,0))*IFERROR(INDEX(Variación!E$3:E$228,MATCH($G47,Variación!$A$3:$A$228,0)),1),1)</f>
        <v>18.3</v>
      </c>
      <c r="N47" s="20">
        <f>ROUND(INDEX('Stats base'!E$5:E$8,MATCH($C47,'Stats base'!$A$5:$A$8,0))*INDEX('Stats base'!E$12:E$14,MATCH($E47,'Stats base'!$A$12:$A$14,0))*INDEX('Stats base'!E$18:E$22,MATCH($J47,'Stats base'!$A$18:$A$22,0))*IFERROR(INDEX(Variación!F$3:F$228,MATCH($G47,Variación!$A$3:$A$228,0)),1),1)</f>
        <v>4.8</v>
      </c>
      <c r="O47" s="19">
        <f>ROUND(INDEX('Stats base'!F$5:F$8,MATCH($C47,'Stats base'!$A$5:$A$8,0))*INDEX('Stats base'!F$12:F$14,MATCH($E47,'Stats base'!$A$12:$A$14,0))*INDEX('Stats base'!F$18:F$22,MATCH($J47,'Stats base'!$A$18:$A$22,0))*IFERROR(INDEX(Variación!G$3:G$228,MATCH($G47,Variación!$A$3:$A$228,0)),1),0)</f>
        <v>117</v>
      </c>
      <c r="P47" s="21">
        <f>MIN('Stats base'!$G$30,ROUND(INDEX('Stats base'!G$5:G$8,MATCH($C47,'Stats base'!$A$5:$A$8,0))*INDEX('Stats base'!G$12:G$14,MATCH($E47,'Stats base'!$A$12:$A$14,0))*INDEX('Stats base'!G$18:G$22,MATCH($J47,'Stats base'!$A$18:$A$22,0))*IFERROR(INDEX(Variación!H$3:H$228,MATCH($G47,Variación!$A$3:$A$228,0)),1),3))</f>
        <v>4.5999999999999999E-2</v>
      </c>
    </row>
    <row r="48" spans="1:16" ht="34.5" hidden="1" customHeight="1" x14ac:dyDescent="0.25">
      <c r="A48" s="15" t="s">
        <v>185</v>
      </c>
      <c r="B48" s="15" t="s">
        <v>186</v>
      </c>
      <c r="C48" s="16" t="s">
        <v>28</v>
      </c>
      <c r="D48" s="17" t="s">
        <v>29</v>
      </c>
      <c r="E48" s="16" t="s">
        <v>30</v>
      </c>
      <c r="F48" s="16" t="s">
        <v>38</v>
      </c>
      <c r="G48" s="18" t="s">
        <v>187</v>
      </c>
      <c r="H48" s="18"/>
      <c r="I48" s="18" t="s">
        <v>188</v>
      </c>
      <c r="J48" s="18" t="s">
        <v>70</v>
      </c>
      <c r="K48" s="19">
        <f>ROUND(INDEX('Stats base'!B$5:B$8,MATCH($C48,'Stats base'!$A$5:$A$8,0))*INDEX('Stats base'!B$12:B$14,MATCH($E48,'Stats base'!$A$12:$A$14,0))*INDEX('Stats base'!B$18:B$22,MATCH($J48,'Stats base'!$A$18:$A$22,0))*IFERROR(INDEX(Variación!C$3:C$228,MATCH($G48,Variación!$A$3:$A$228,0)),1),0)</f>
        <v>143</v>
      </c>
      <c r="L48" s="20">
        <f>ROUND(INDEX('Stats base'!C$5:C$8,MATCH($C48,'Stats base'!$A$5:$A$8,0))*INDEX('Stats base'!C$12:C$14,MATCH($E48,'Stats base'!$A$12:$A$14,0))*INDEX('Stats base'!C$18:C$22,MATCH($J48,'Stats base'!$A$18:$A$22,0))*IFERROR(INDEX(Variación!D$3:D$228,MATCH($G48,Variación!$A$3:$A$228,0)),1),1)</f>
        <v>10.7</v>
      </c>
      <c r="M48" s="20">
        <f>ROUND(INDEX('Stats base'!D$5:D$8,MATCH($C48,'Stats base'!$A$5:$A$8,0))*INDEX('Stats base'!D$12:D$14,MATCH($E48,'Stats base'!$A$12:$A$14,0))*INDEX('Stats base'!D$18:D$22,MATCH($J48,'Stats base'!$A$18:$A$22,0))*IFERROR(INDEX(Variación!E$3:E$228,MATCH($G48,Variación!$A$3:$A$228,0)),1),1)</f>
        <v>24.1</v>
      </c>
      <c r="N48" s="20">
        <f>ROUND(INDEX('Stats base'!E$5:E$8,MATCH($C48,'Stats base'!$A$5:$A$8,0))*INDEX('Stats base'!E$12:E$14,MATCH($E48,'Stats base'!$A$12:$A$14,0))*INDEX('Stats base'!E$18:E$22,MATCH($J48,'Stats base'!$A$18:$A$22,0))*IFERROR(INDEX(Variación!F$3:F$228,MATCH($G48,Variación!$A$3:$A$228,0)),1),1)</f>
        <v>8.1999999999999993</v>
      </c>
      <c r="O48" s="19">
        <f>ROUND(INDEX('Stats base'!F$5:F$8,MATCH($C48,'Stats base'!$A$5:$A$8,0))*INDEX('Stats base'!F$12:F$14,MATCH($E48,'Stats base'!$A$12:$A$14,0))*INDEX('Stats base'!F$18:F$22,MATCH($J48,'Stats base'!$A$18:$A$22,0))*IFERROR(INDEX(Variación!G$3:G$228,MATCH($G48,Variación!$A$3:$A$228,0)),1),0)</f>
        <v>88</v>
      </c>
      <c r="P48" s="21">
        <f>MIN('Stats base'!$G$30,ROUND(INDEX('Stats base'!G$5:G$8,MATCH($C48,'Stats base'!$A$5:$A$8,0))*INDEX('Stats base'!G$12:G$14,MATCH($E48,'Stats base'!$A$12:$A$14,0))*INDEX('Stats base'!G$18:G$22,MATCH($J48,'Stats base'!$A$18:$A$22,0))*IFERROR(INDEX(Variación!H$3:H$228,MATCH($G48,Variación!$A$3:$A$228,0)),1),3))</f>
        <v>1.2E-2</v>
      </c>
    </row>
    <row r="49" spans="1:16" ht="34.5" customHeight="1" x14ac:dyDescent="0.25">
      <c r="A49" s="15" t="s">
        <v>189</v>
      </c>
      <c r="B49" s="15" t="s">
        <v>190</v>
      </c>
      <c r="C49" s="16" t="s">
        <v>37</v>
      </c>
      <c r="D49" s="17" t="s">
        <v>29</v>
      </c>
      <c r="E49" s="16" t="s">
        <v>30</v>
      </c>
      <c r="F49" s="16" t="s">
        <v>48</v>
      </c>
      <c r="G49" s="18" t="s">
        <v>191</v>
      </c>
      <c r="H49" s="18"/>
      <c r="I49" s="18" t="s">
        <v>188</v>
      </c>
      <c r="J49" s="18" t="s">
        <v>85</v>
      </c>
      <c r="K49" s="19">
        <f>ROUND(INDEX('Stats base'!B$5:B$8,MATCH($C49,'Stats base'!$A$5:$A$8,0))*INDEX('Stats base'!B$12:B$14,MATCH($E49,'Stats base'!$A$12:$A$14,0))*INDEX('Stats base'!B$18:B$22,MATCH($J49,'Stats base'!$A$18:$A$22,0))*IFERROR(INDEX(Variación!C$3:C$228,MATCH($G49,Variación!$A$3:$A$228,0)),1),0)</f>
        <v>126</v>
      </c>
      <c r="L49" s="20">
        <f>ROUND(INDEX('Stats base'!C$5:C$8,MATCH($C49,'Stats base'!$A$5:$A$8,0))*INDEX('Stats base'!C$12:C$14,MATCH($E49,'Stats base'!$A$12:$A$14,0))*INDEX('Stats base'!C$18:C$22,MATCH($J49,'Stats base'!$A$18:$A$22,0))*IFERROR(INDEX(Variación!D$3:D$228,MATCH($G49,Variación!$A$3:$A$228,0)),1),1)</f>
        <v>7.4</v>
      </c>
      <c r="M49" s="20">
        <f>ROUND(INDEX('Stats base'!D$5:D$8,MATCH($C49,'Stats base'!$A$5:$A$8,0))*INDEX('Stats base'!D$12:D$14,MATCH($E49,'Stats base'!$A$12:$A$14,0))*INDEX('Stats base'!D$18:D$22,MATCH($J49,'Stats base'!$A$18:$A$22,0))*IFERROR(INDEX(Variación!E$3:E$228,MATCH($G49,Variación!$A$3:$A$228,0)),1),1)</f>
        <v>12.8</v>
      </c>
      <c r="N49" s="20">
        <f>ROUND(INDEX('Stats base'!E$5:E$8,MATCH($C49,'Stats base'!$A$5:$A$8,0))*INDEX('Stats base'!E$12:E$14,MATCH($E49,'Stats base'!$A$12:$A$14,0))*INDEX('Stats base'!E$18:E$22,MATCH($J49,'Stats base'!$A$18:$A$22,0))*IFERROR(INDEX(Variación!F$3:F$228,MATCH($G49,Variación!$A$3:$A$228,0)),1),1)</f>
        <v>7.8</v>
      </c>
      <c r="O49" s="19">
        <f>ROUND(INDEX('Stats base'!F$5:F$8,MATCH($C49,'Stats base'!$A$5:$A$8,0))*INDEX('Stats base'!F$12:F$14,MATCH($E49,'Stats base'!$A$12:$A$14,0))*INDEX('Stats base'!F$18:F$22,MATCH($J49,'Stats base'!$A$18:$A$22,0))*IFERROR(INDEX(Variación!G$3:G$228,MATCH($G49,Variación!$A$3:$A$228,0)),1),0)</f>
        <v>98</v>
      </c>
      <c r="P49" s="21">
        <f>MIN('Stats base'!$G$30,ROUND(INDEX('Stats base'!G$5:G$8,MATCH($C49,'Stats base'!$A$5:$A$8,0))*INDEX('Stats base'!G$12:G$14,MATCH($E49,'Stats base'!$A$12:$A$14,0))*INDEX('Stats base'!G$18:G$22,MATCH($J49,'Stats base'!$A$18:$A$22,0))*IFERROR(INDEX(Variación!H$3:H$228,MATCH($G49,Variación!$A$3:$A$228,0)),1),3))</f>
        <v>1.2E-2</v>
      </c>
    </row>
    <row r="50" spans="1:16" ht="34.5" customHeight="1" x14ac:dyDescent="0.25">
      <c r="A50" s="15" t="s">
        <v>192</v>
      </c>
      <c r="B50" s="15" t="s">
        <v>193</v>
      </c>
      <c r="C50" s="16" t="s">
        <v>37</v>
      </c>
      <c r="D50" s="17" t="s">
        <v>29</v>
      </c>
      <c r="E50" s="16" t="s">
        <v>53</v>
      </c>
      <c r="F50" s="16" t="s">
        <v>38</v>
      </c>
      <c r="G50" s="18" t="s">
        <v>194</v>
      </c>
      <c r="H50" s="18"/>
      <c r="I50" s="18" t="s">
        <v>188</v>
      </c>
      <c r="J50" s="18" t="s">
        <v>85</v>
      </c>
      <c r="K50" s="19">
        <f>ROUND(INDEX('Stats base'!B$5:B$8,MATCH($C50,'Stats base'!$A$5:$A$8,0))*INDEX('Stats base'!B$12:B$14,MATCH($E50,'Stats base'!$A$12:$A$14,0))*INDEX('Stats base'!B$18:B$22,MATCH($J50,'Stats base'!$A$18:$A$22,0))*IFERROR(INDEX(Variación!C$3:C$228,MATCH($G50,Variación!$A$3:$A$228,0)),1),0)</f>
        <v>109</v>
      </c>
      <c r="L50" s="20">
        <f>ROUND(INDEX('Stats base'!C$5:C$8,MATCH($C50,'Stats base'!$A$5:$A$8,0))*INDEX('Stats base'!C$12:C$14,MATCH($E50,'Stats base'!$A$12:$A$14,0))*INDEX('Stats base'!C$18:C$22,MATCH($J50,'Stats base'!$A$18:$A$22,0))*IFERROR(INDEX(Variación!D$3:D$228,MATCH($G50,Variación!$A$3:$A$228,0)),1),1)</f>
        <v>6.4</v>
      </c>
      <c r="M50" s="20">
        <f>ROUND(INDEX('Stats base'!D$5:D$8,MATCH($C50,'Stats base'!$A$5:$A$8,0))*INDEX('Stats base'!D$12:D$14,MATCH($E50,'Stats base'!$A$12:$A$14,0))*INDEX('Stats base'!D$18:D$22,MATCH($J50,'Stats base'!$A$18:$A$22,0))*IFERROR(INDEX(Variación!E$3:E$228,MATCH($G50,Variación!$A$3:$A$228,0)),1),1)</f>
        <v>11.2</v>
      </c>
      <c r="N50" s="20">
        <f>ROUND(INDEX('Stats base'!E$5:E$8,MATCH($C50,'Stats base'!$A$5:$A$8,0))*INDEX('Stats base'!E$12:E$14,MATCH($E50,'Stats base'!$A$12:$A$14,0))*INDEX('Stats base'!E$18:E$22,MATCH($J50,'Stats base'!$A$18:$A$22,0))*IFERROR(INDEX(Variación!F$3:F$228,MATCH($G50,Variación!$A$3:$A$228,0)),1),1)</f>
        <v>7.4</v>
      </c>
      <c r="O50" s="19">
        <f>ROUND(INDEX('Stats base'!F$5:F$8,MATCH($C50,'Stats base'!$A$5:$A$8,0))*INDEX('Stats base'!F$12:F$14,MATCH($E50,'Stats base'!$A$12:$A$14,0))*INDEX('Stats base'!F$18:F$22,MATCH($J50,'Stats base'!$A$18:$A$22,0))*IFERROR(INDEX(Variación!G$3:G$228,MATCH($G50,Variación!$A$3:$A$228,0)),1),0)</f>
        <v>108</v>
      </c>
      <c r="P50" s="21">
        <f>MIN('Stats base'!$G$30,ROUND(INDEX('Stats base'!G$5:G$8,MATCH($C50,'Stats base'!$A$5:$A$8,0))*INDEX('Stats base'!G$12:G$14,MATCH($E50,'Stats base'!$A$12:$A$14,0))*INDEX('Stats base'!G$18:G$22,MATCH($J50,'Stats base'!$A$18:$A$22,0))*IFERROR(INDEX(Variación!H$3:H$228,MATCH($G50,Variación!$A$3:$A$228,0)),1),3))</f>
        <v>1.4E-2</v>
      </c>
    </row>
    <row r="51" spans="1:16" ht="34.5" hidden="1" customHeight="1" x14ac:dyDescent="0.25">
      <c r="A51" s="15" t="s">
        <v>195</v>
      </c>
      <c r="B51" s="15" t="s">
        <v>196</v>
      </c>
      <c r="C51" s="16" t="s">
        <v>37</v>
      </c>
      <c r="D51" s="17" t="s">
        <v>29</v>
      </c>
      <c r="E51" s="16" t="s">
        <v>42</v>
      </c>
      <c r="F51" s="16" t="s">
        <v>43</v>
      </c>
      <c r="G51" s="18" t="s">
        <v>197</v>
      </c>
      <c r="H51" s="18"/>
      <c r="I51" s="18" t="s">
        <v>188</v>
      </c>
      <c r="J51" s="18" t="s">
        <v>50</v>
      </c>
      <c r="K51" s="19">
        <f>ROUND(INDEX('Stats base'!B$5:B$8,MATCH($C51,'Stats base'!$A$5:$A$8,0))*INDEX('Stats base'!B$12:B$14,MATCH($E51,'Stats base'!$A$12:$A$14,0))*INDEX('Stats base'!B$18:B$22,MATCH($J51,'Stats base'!$A$18:$A$22,0))*IFERROR(INDEX(Variación!C$3:C$228,MATCH($G51,Variación!$A$3:$A$228,0)),1),0)</f>
        <v>147</v>
      </c>
      <c r="L51" s="20">
        <f>ROUND(INDEX('Stats base'!C$5:C$8,MATCH($C51,'Stats base'!$A$5:$A$8,0))*INDEX('Stats base'!C$12:C$14,MATCH($E51,'Stats base'!$A$12:$A$14,0))*INDEX('Stats base'!C$18:C$22,MATCH($J51,'Stats base'!$A$18:$A$22,0))*IFERROR(INDEX(Variación!D$3:D$228,MATCH($G51,Variación!$A$3:$A$228,0)),1),1)</f>
        <v>8.5</v>
      </c>
      <c r="M51" s="20">
        <f>ROUND(INDEX('Stats base'!D$5:D$8,MATCH($C51,'Stats base'!$A$5:$A$8,0))*INDEX('Stats base'!D$12:D$14,MATCH($E51,'Stats base'!$A$12:$A$14,0))*INDEX('Stats base'!D$18:D$22,MATCH($J51,'Stats base'!$A$18:$A$22,0))*IFERROR(INDEX(Variación!E$3:E$228,MATCH($G51,Variación!$A$3:$A$228,0)),1),1)</f>
        <v>13.7</v>
      </c>
      <c r="N51" s="20">
        <f>ROUND(INDEX('Stats base'!E$5:E$8,MATCH($C51,'Stats base'!$A$5:$A$8,0))*INDEX('Stats base'!E$12:E$14,MATCH($E51,'Stats base'!$A$12:$A$14,0))*INDEX('Stats base'!E$18:E$22,MATCH($J51,'Stats base'!$A$18:$A$22,0))*IFERROR(INDEX(Variación!F$3:F$228,MATCH($G51,Variación!$A$3:$A$228,0)),1),1)</f>
        <v>9.3000000000000007</v>
      </c>
      <c r="O51" s="19">
        <f>ROUND(INDEX('Stats base'!F$5:F$8,MATCH($C51,'Stats base'!$A$5:$A$8,0))*INDEX('Stats base'!F$12:F$14,MATCH($E51,'Stats base'!$A$12:$A$14,0))*INDEX('Stats base'!F$18:F$22,MATCH($J51,'Stats base'!$A$18:$A$22,0))*IFERROR(INDEX(Variación!G$3:G$228,MATCH($G51,Variación!$A$3:$A$228,0)),1),0)</f>
        <v>86</v>
      </c>
      <c r="P51" s="21">
        <f>MIN('Stats base'!$G$30,ROUND(INDEX('Stats base'!G$5:G$8,MATCH($C51,'Stats base'!$A$5:$A$8,0))*INDEX('Stats base'!G$12:G$14,MATCH($E51,'Stats base'!$A$12:$A$14,0))*INDEX('Stats base'!G$18:G$22,MATCH($J51,'Stats base'!$A$18:$A$22,0))*IFERROR(INDEX(Variación!H$3:H$228,MATCH($G51,Variación!$A$3:$A$228,0)),1),3))</f>
        <v>1.2E-2</v>
      </c>
    </row>
    <row r="52" spans="1:16" ht="34.5" customHeight="1" x14ac:dyDescent="0.25">
      <c r="A52" s="15" t="s">
        <v>198</v>
      </c>
      <c r="B52" s="15" t="s">
        <v>199</v>
      </c>
      <c r="C52" s="16" t="s">
        <v>37</v>
      </c>
      <c r="D52" s="17" t="s">
        <v>29</v>
      </c>
      <c r="E52" s="16" t="s">
        <v>42</v>
      </c>
      <c r="F52" s="16" t="s">
        <v>54</v>
      </c>
      <c r="G52" s="18" t="s">
        <v>200</v>
      </c>
      <c r="H52" s="18"/>
      <c r="I52" s="18" t="s">
        <v>188</v>
      </c>
      <c r="J52" s="18" t="s">
        <v>85</v>
      </c>
      <c r="K52" s="19">
        <f>ROUND(INDEX('Stats base'!B$5:B$8,MATCH($C52,'Stats base'!$A$5:$A$8,0))*INDEX('Stats base'!B$12:B$14,MATCH($E52,'Stats base'!$A$12:$A$14,0))*INDEX('Stats base'!B$18:B$22,MATCH($J52,'Stats base'!$A$18:$A$22,0))*IFERROR(INDEX(Variación!C$3:C$228,MATCH($G52,Variación!$A$3:$A$228,0)),1),0)</f>
        <v>146</v>
      </c>
      <c r="L52" s="20">
        <f>ROUND(INDEX('Stats base'!C$5:C$8,MATCH($C52,'Stats base'!$A$5:$A$8,0))*INDEX('Stats base'!C$12:C$14,MATCH($E52,'Stats base'!$A$12:$A$14,0))*INDEX('Stats base'!C$18:C$22,MATCH($J52,'Stats base'!$A$18:$A$22,0))*IFERROR(INDEX(Variación!D$3:D$228,MATCH($G52,Variación!$A$3:$A$228,0)),1),1)</f>
        <v>7.3</v>
      </c>
      <c r="M52" s="20">
        <f>ROUND(INDEX('Stats base'!D$5:D$8,MATCH($C52,'Stats base'!$A$5:$A$8,0))*INDEX('Stats base'!D$12:D$14,MATCH($E52,'Stats base'!$A$12:$A$14,0))*INDEX('Stats base'!D$18:D$22,MATCH($J52,'Stats base'!$A$18:$A$22,0))*IFERROR(INDEX(Variación!E$3:E$228,MATCH($G52,Variación!$A$3:$A$228,0)),1),1)</f>
        <v>12.2</v>
      </c>
      <c r="N52" s="20">
        <f>ROUND(INDEX('Stats base'!E$5:E$8,MATCH($C52,'Stats base'!$A$5:$A$8,0))*INDEX('Stats base'!E$12:E$14,MATCH($E52,'Stats base'!$A$12:$A$14,0))*INDEX('Stats base'!E$18:E$22,MATCH($J52,'Stats base'!$A$18:$A$22,0))*IFERROR(INDEX(Variación!F$3:F$228,MATCH($G52,Variación!$A$3:$A$228,0)),1),1)</f>
        <v>9.1</v>
      </c>
      <c r="O52" s="19">
        <f>ROUND(INDEX('Stats base'!F$5:F$8,MATCH($C52,'Stats base'!$A$5:$A$8,0))*INDEX('Stats base'!F$12:F$14,MATCH($E52,'Stats base'!$A$12:$A$14,0))*INDEX('Stats base'!F$18:F$22,MATCH($J52,'Stats base'!$A$18:$A$22,0))*IFERROR(INDEX(Variación!G$3:G$228,MATCH($G52,Variación!$A$3:$A$228,0)),1),0)</f>
        <v>87</v>
      </c>
      <c r="P52" s="21">
        <f>MIN('Stats base'!$G$30,ROUND(INDEX('Stats base'!G$5:G$8,MATCH($C52,'Stats base'!$A$5:$A$8,0))*INDEX('Stats base'!G$12:G$14,MATCH($E52,'Stats base'!$A$12:$A$14,0))*INDEX('Stats base'!G$18:G$22,MATCH($J52,'Stats base'!$A$18:$A$22,0))*IFERROR(INDEX(Variación!H$3:H$228,MATCH($G52,Variación!$A$3:$A$228,0)),1),3))</f>
        <v>1.0999999999999999E-2</v>
      </c>
    </row>
    <row r="53" spans="1:16" ht="34.5" customHeight="1" x14ac:dyDescent="0.25">
      <c r="A53" s="15" t="s">
        <v>201</v>
      </c>
      <c r="B53" s="15" t="s">
        <v>202</v>
      </c>
      <c r="C53" s="16" t="s">
        <v>58</v>
      </c>
      <c r="D53" s="17" t="s">
        <v>29</v>
      </c>
      <c r="E53" s="16" t="s">
        <v>53</v>
      </c>
      <c r="F53" s="16" t="s">
        <v>38</v>
      </c>
      <c r="G53" s="18" t="s">
        <v>203</v>
      </c>
      <c r="H53" s="18"/>
      <c r="I53" s="18" t="s">
        <v>188</v>
      </c>
      <c r="J53" s="18" t="s">
        <v>85</v>
      </c>
      <c r="K53" s="19">
        <f>ROUND(INDEX('Stats base'!B$5:B$8,MATCH($C53,'Stats base'!$A$5:$A$8,0))*INDEX('Stats base'!B$12:B$14,MATCH($E53,'Stats base'!$A$12:$A$14,0))*INDEX('Stats base'!B$18:B$22,MATCH($J53,'Stats base'!$A$18:$A$22,0))*IFERROR(INDEX(Variación!C$3:C$228,MATCH($G53,Variación!$A$3:$A$228,0)),1),0)</f>
        <v>90</v>
      </c>
      <c r="L53" s="20">
        <f>ROUND(INDEX('Stats base'!C$5:C$8,MATCH($C53,'Stats base'!$A$5:$A$8,0))*INDEX('Stats base'!C$12:C$14,MATCH($E53,'Stats base'!$A$12:$A$14,0))*INDEX('Stats base'!C$18:C$22,MATCH($J53,'Stats base'!$A$18:$A$22,0))*IFERROR(INDEX(Variación!D$3:D$228,MATCH($G53,Variación!$A$3:$A$228,0)),1),1)</f>
        <v>8.4</v>
      </c>
      <c r="M53" s="20">
        <f>ROUND(INDEX('Stats base'!D$5:D$8,MATCH($C53,'Stats base'!$A$5:$A$8,0))*INDEX('Stats base'!D$12:D$14,MATCH($E53,'Stats base'!$A$12:$A$14,0))*INDEX('Stats base'!D$18:D$22,MATCH($J53,'Stats base'!$A$18:$A$22,0))*IFERROR(INDEX(Variación!E$3:E$228,MATCH($G53,Variación!$A$3:$A$228,0)),1),1)</f>
        <v>16.3</v>
      </c>
      <c r="N53" s="20">
        <f>ROUND(INDEX('Stats base'!E$5:E$8,MATCH($C53,'Stats base'!$A$5:$A$8,0))*INDEX('Stats base'!E$12:E$14,MATCH($E53,'Stats base'!$A$12:$A$14,0))*INDEX('Stats base'!E$18:E$22,MATCH($J53,'Stats base'!$A$18:$A$22,0))*IFERROR(INDEX(Variación!F$3:F$228,MATCH($G53,Variación!$A$3:$A$228,0)),1),1)</f>
        <v>3.9</v>
      </c>
      <c r="O53" s="19">
        <f>ROUND(INDEX('Stats base'!F$5:F$8,MATCH($C53,'Stats base'!$A$5:$A$8,0))*INDEX('Stats base'!F$12:F$14,MATCH($E53,'Stats base'!$A$12:$A$14,0))*INDEX('Stats base'!F$18:F$22,MATCH($J53,'Stats base'!$A$18:$A$22,0))*IFERROR(INDEX(Variación!G$3:G$228,MATCH($G53,Variación!$A$3:$A$228,0)),1),0)</f>
        <v>113</v>
      </c>
      <c r="P53" s="21">
        <f>MIN('Stats base'!$G$30,ROUND(INDEX('Stats base'!G$5:G$8,MATCH($C53,'Stats base'!$A$5:$A$8,0))*INDEX('Stats base'!G$12:G$14,MATCH($E53,'Stats base'!$A$12:$A$14,0))*INDEX('Stats base'!G$18:G$22,MATCH($J53,'Stats base'!$A$18:$A$22,0))*IFERROR(INDEX(Variación!H$3:H$228,MATCH($G53,Variación!$A$3:$A$228,0)),1),3))</f>
        <v>3.6999999999999998E-2</v>
      </c>
    </row>
    <row r="54" spans="1:16" ht="34.5" hidden="1" customHeight="1" x14ac:dyDescent="0.25">
      <c r="A54" s="15" t="s">
        <v>204</v>
      </c>
      <c r="B54" s="15" t="s">
        <v>205</v>
      </c>
      <c r="C54" s="16" t="s">
        <v>58</v>
      </c>
      <c r="D54" s="17" t="s">
        <v>29</v>
      </c>
      <c r="E54" s="16" t="s">
        <v>30</v>
      </c>
      <c r="F54" s="16" t="s">
        <v>48</v>
      </c>
      <c r="G54" s="18" t="s">
        <v>206</v>
      </c>
      <c r="H54" s="18"/>
      <c r="I54" s="18" t="s">
        <v>188</v>
      </c>
      <c r="J54" s="18" t="s">
        <v>50</v>
      </c>
      <c r="K54" s="19">
        <f>ROUND(INDEX('Stats base'!B$5:B$8,MATCH($C54,'Stats base'!$A$5:$A$8,0))*INDEX('Stats base'!B$12:B$14,MATCH($E54,'Stats base'!$A$12:$A$14,0))*INDEX('Stats base'!B$18:B$22,MATCH($J54,'Stats base'!$A$18:$A$22,0))*IFERROR(INDEX(Variación!C$3:C$228,MATCH($G54,Variación!$A$3:$A$228,0)),1),0)</f>
        <v>101</v>
      </c>
      <c r="L54" s="20">
        <f>ROUND(INDEX('Stats base'!C$5:C$8,MATCH($C54,'Stats base'!$A$5:$A$8,0))*INDEX('Stats base'!C$12:C$14,MATCH($E54,'Stats base'!$A$12:$A$14,0))*INDEX('Stats base'!C$18:C$22,MATCH($J54,'Stats base'!$A$18:$A$22,0))*IFERROR(INDEX(Variación!D$3:D$228,MATCH($G54,Variación!$A$3:$A$228,0)),1),1)</f>
        <v>9.5</v>
      </c>
      <c r="M54" s="20">
        <f>ROUND(INDEX('Stats base'!D$5:D$8,MATCH($C54,'Stats base'!$A$5:$A$8,0))*INDEX('Stats base'!D$12:D$14,MATCH($E54,'Stats base'!$A$12:$A$14,0))*INDEX('Stats base'!D$18:D$22,MATCH($J54,'Stats base'!$A$18:$A$22,0))*IFERROR(INDEX(Variación!E$3:E$228,MATCH($G54,Variación!$A$3:$A$228,0)),1),1)</f>
        <v>16.5</v>
      </c>
      <c r="N54" s="20">
        <f>ROUND(INDEX('Stats base'!E$5:E$8,MATCH($C54,'Stats base'!$A$5:$A$8,0))*INDEX('Stats base'!E$12:E$14,MATCH($E54,'Stats base'!$A$12:$A$14,0))*INDEX('Stats base'!E$18:E$22,MATCH($J54,'Stats base'!$A$18:$A$22,0))*IFERROR(INDEX(Variación!F$3:F$228,MATCH($G54,Variación!$A$3:$A$228,0)),1),1)</f>
        <v>4.8</v>
      </c>
      <c r="O54" s="19">
        <f>ROUND(INDEX('Stats base'!F$5:F$8,MATCH($C54,'Stats base'!$A$5:$A$8,0))*INDEX('Stats base'!F$12:F$14,MATCH($E54,'Stats base'!$A$12:$A$14,0))*INDEX('Stats base'!F$18:F$22,MATCH($J54,'Stats base'!$A$18:$A$22,0))*IFERROR(INDEX(Variación!G$3:G$228,MATCH($G54,Variación!$A$3:$A$228,0)),1),0)</f>
        <v>102</v>
      </c>
      <c r="P54" s="21">
        <f>MIN('Stats base'!$G$30,ROUND(INDEX('Stats base'!G$5:G$8,MATCH($C54,'Stats base'!$A$5:$A$8,0))*INDEX('Stats base'!G$12:G$14,MATCH($E54,'Stats base'!$A$12:$A$14,0))*INDEX('Stats base'!G$18:G$22,MATCH($J54,'Stats base'!$A$18:$A$22,0))*IFERROR(INDEX(Variación!H$3:H$228,MATCH($G54,Variación!$A$3:$A$228,0)),1),3))</f>
        <v>4.1000000000000002E-2</v>
      </c>
    </row>
    <row r="55" spans="1:16" ht="34.5" customHeight="1" x14ac:dyDescent="0.25">
      <c r="A55" s="15" t="s">
        <v>207</v>
      </c>
      <c r="B55" s="15" t="s">
        <v>208</v>
      </c>
      <c r="C55" s="16" t="s">
        <v>58</v>
      </c>
      <c r="D55" s="17" t="s">
        <v>29</v>
      </c>
      <c r="E55" s="16" t="s">
        <v>30</v>
      </c>
      <c r="F55" s="16" t="s">
        <v>54</v>
      </c>
      <c r="G55" s="18" t="s">
        <v>209</v>
      </c>
      <c r="H55" s="18"/>
      <c r="I55" s="18" t="s">
        <v>188</v>
      </c>
      <c r="J55" s="18" t="s">
        <v>85</v>
      </c>
      <c r="K55" s="19">
        <f>ROUND(INDEX('Stats base'!B$5:B$8,MATCH($C55,'Stats base'!$A$5:$A$8,0))*INDEX('Stats base'!B$12:B$14,MATCH($E55,'Stats base'!$A$12:$A$14,0))*INDEX('Stats base'!B$18:B$22,MATCH($J55,'Stats base'!$A$18:$A$22,0))*IFERROR(INDEX(Variación!C$3:C$228,MATCH($G55,Variación!$A$3:$A$228,0)),1),0)</f>
        <v>84</v>
      </c>
      <c r="L55" s="20">
        <f>ROUND(INDEX('Stats base'!C$5:C$8,MATCH($C55,'Stats base'!$A$5:$A$8,0))*INDEX('Stats base'!C$12:C$14,MATCH($E55,'Stats base'!$A$12:$A$14,0))*INDEX('Stats base'!C$18:C$22,MATCH($J55,'Stats base'!$A$18:$A$22,0))*IFERROR(INDEX(Variación!D$3:D$228,MATCH($G55,Variación!$A$3:$A$228,0)),1),1)</f>
        <v>7.7</v>
      </c>
      <c r="M55" s="20">
        <f>ROUND(INDEX('Stats base'!D$5:D$8,MATCH($C55,'Stats base'!$A$5:$A$8,0))*INDEX('Stats base'!D$12:D$14,MATCH($E55,'Stats base'!$A$12:$A$14,0))*INDEX('Stats base'!D$18:D$22,MATCH($J55,'Stats base'!$A$18:$A$22,0))*IFERROR(INDEX(Variación!E$3:E$228,MATCH($G55,Variación!$A$3:$A$228,0)),1),1)</f>
        <v>14.7</v>
      </c>
      <c r="N55" s="20">
        <f>ROUND(INDEX('Stats base'!E$5:E$8,MATCH($C55,'Stats base'!$A$5:$A$8,0))*INDEX('Stats base'!E$12:E$14,MATCH($E55,'Stats base'!$A$12:$A$14,0))*INDEX('Stats base'!E$18:E$22,MATCH($J55,'Stats base'!$A$18:$A$22,0))*IFERROR(INDEX(Variación!F$3:F$228,MATCH($G55,Variación!$A$3:$A$228,0)),1),1)</f>
        <v>3.8</v>
      </c>
      <c r="O55" s="19">
        <f>ROUND(INDEX('Stats base'!F$5:F$8,MATCH($C55,'Stats base'!$A$5:$A$8,0))*INDEX('Stats base'!F$12:F$14,MATCH($E55,'Stats base'!$A$12:$A$14,0))*INDEX('Stats base'!F$18:F$22,MATCH($J55,'Stats base'!$A$18:$A$22,0))*IFERROR(INDEX(Variación!G$3:G$228,MATCH($G55,Variación!$A$3:$A$228,0)),1),0)</f>
        <v>118</v>
      </c>
      <c r="P55" s="21">
        <f>MIN('Stats base'!$G$30,ROUND(INDEX('Stats base'!G$5:G$8,MATCH($C55,'Stats base'!$A$5:$A$8,0))*INDEX('Stats base'!G$12:G$14,MATCH($E55,'Stats base'!$A$12:$A$14,0))*INDEX('Stats base'!G$18:G$22,MATCH($J55,'Stats base'!$A$18:$A$22,0))*IFERROR(INDEX(Variación!H$3:H$228,MATCH($G55,Variación!$A$3:$A$228,0)),1),3))</f>
        <v>3.5999999999999997E-2</v>
      </c>
    </row>
    <row r="56" spans="1:16" ht="34.5" hidden="1" customHeight="1" x14ac:dyDescent="0.25">
      <c r="A56" s="15" t="s">
        <v>210</v>
      </c>
      <c r="B56" s="15" t="s">
        <v>211</v>
      </c>
      <c r="C56" s="16" t="s">
        <v>68</v>
      </c>
      <c r="D56" s="17" t="s">
        <v>29</v>
      </c>
      <c r="E56" s="16" t="s">
        <v>30</v>
      </c>
      <c r="F56" s="16" t="s">
        <v>48</v>
      </c>
      <c r="G56" s="18" t="s">
        <v>212</v>
      </c>
      <c r="H56" s="18"/>
      <c r="I56" s="18" t="s">
        <v>188</v>
      </c>
      <c r="J56" s="18" t="s">
        <v>45</v>
      </c>
      <c r="K56" s="19">
        <f>ROUND(INDEX('Stats base'!B$5:B$8,MATCH($C56,'Stats base'!$A$5:$A$8,0))*INDEX('Stats base'!B$12:B$14,MATCH($E56,'Stats base'!$A$12:$A$14,0))*INDEX('Stats base'!B$18:B$22,MATCH($J56,'Stats base'!$A$18:$A$22,0))*IFERROR(INDEX(Variación!C$3:C$228,MATCH($G56,Variación!$A$3:$A$228,0)),1),0)</f>
        <v>118</v>
      </c>
      <c r="L56" s="20">
        <f>ROUND(INDEX('Stats base'!C$5:C$8,MATCH($C56,'Stats base'!$A$5:$A$8,0))*INDEX('Stats base'!C$12:C$14,MATCH($E56,'Stats base'!$A$12:$A$14,0))*INDEX('Stats base'!C$18:C$22,MATCH($J56,'Stats base'!$A$18:$A$22,0))*IFERROR(INDEX(Variación!D$3:D$228,MATCH($G56,Variación!$A$3:$A$228,0)),1),1)</f>
        <v>19.100000000000001</v>
      </c>
      <c r="M56" s="20">
        <f>ROUND(INDEX('Stats base'!D$5:D$8,MATCH($C56,'Stats base'!$A$5:$A$8,0))*INDEX('Stats base'!D$12:D$14,MATCH($E56,'Stats base'!$A$12:$A$14,0))*INDEX('Stats base'!D$18:D$22,MATCH($J56,'Stats base'!$A$18:$A$22,0))*IFERROR(INDEX(Variación!E$3:E$228,MATCH($G56,Variación!$A$3:$A$228,0)),1),1)</f>
        <v>30.5</v>
      </c>
      <c r="N56" s="20">
        <f>ROUND(INDEX('Stats base'!E$5:E$8,MATCH($C56,'Stats base'!$A$5:$A$8,0))*INDEX('Stats base'!E$12:E$14,MATCH($E56,'Stats base'!$A$12:$A$14,0))*INDEX('Stats base'!E$18:E$22,MATCH($J56,'Stats base'!$A$18:$A$22,0))*IFERROR(INDEX(Variación!F$3:F$228,MATCH($G56,Variación!$A$3:$A$228,0)),1),1)</f>
        <v>4.5</v>
      </c>
      <c r="O56" s="19">
        <f>ROUND(INDEX('Stats base'!F$5:F$8,MATCH($C56,'Stats base'!$A$5:$A$8,0))*INDEX('Stats base'!F$12:F$14,MATCH($E56,'Stats base'!$A$12:$A$14,0))*INDEX('Stats base'!F$18:F$22,MATCH($J56,'Stats base'!$A$18:$A$22,0))*IFERROR(INDEX(Variación!G$3:G$228,MATCH($G56,Variación!$A$3:$A$228,0)),1),0)</f>
        <v>108</v>
      </c>
      <c r="P56" s="21">
        <f>MIN('Stats base'!$G$30,ROUND(INDEX('Stats base'!G$5:G$8,MATCH($C56,'Stats base'!$A$5:$A$8,0))*INDEX('Stats base'!G$12:G$14,MATCH($E56,'Stats base'!$A$12:$A$14,0))*INDEX('Stats base'!G$18:G$22,MATCH($J56,'Stats base'!$A$18:$A$22,0))*IFERROR(INDEX(Variación!H$3:H$228,MATCH($G56,Variación!$A$3:$A$228,0)),1),3))</f>
        <v>3.5999999999999997E-2</v>
      </c>
    </row>
    <row r="57" spans="1:16" ht="34.5" customHeight="1" x14ac:dyDescent="0.25">
      <c r="A57" s="15" t="s">
        <v>213</v>
      </c>
      <c r="B57" s="15" t="s">
        <v>214</v>
      </c>
      <c r="C57" s="16" t="s">
        <v>58</v>
      </c>
      <c r="D57" s="17" t="s">
        <v>29</v>
      </c>
      <c r="E57" s="16" t="s">
        <v>30</v>
      </c>
      <c r="F57" s="16" t="s">
        <v>75</v>
      </c>
      <c r="G57" s="18" t="s">
        <v>215</v>
      </c>
      <c r="H57" s="18"/>
      <c r="I57" s="18" t="s">
        <v>188</v>
      </c>
      <c r="J57" s="18" t="s">
        <v>85</v>
      </c>
      <c r="K57" s="19">
        <f>ROUND(INDEX('Stats base'!B$5:B$8,MATCH($C57,'Stats base'!$A$5:$A$8,0))*INDEX('Stats base'!B$12:B$14,MATCH($E57,'Stats base'!$A$12:$A$14,0))*INDEX('Stats base'!B$18:B$22,MATCH($J57,'Stats base'!$A$18:$A$22,0))*IFERROR(INDEX(Variación!C$3:C$228,MATCH($G57,Variación!$A$3:$A$228,0)),1),0)</f>
        <v>77</v>
      </c>
      <c r="L57" s="20">
        <f>ROUND(INDEX('Stats base'!C$5:C$8,MATCH($C57,'Stats base'!$A$5:$A$8,0))*INDEX('Stats base'!C$12:C$14,MATCH($E57,'Stats base'!$A$12:$A$14,0))*INDEX('Stats base'!C$18:C$22,MATCH($J57,'Stats base'!$A$18:$A$22,0))*IFERROR(INDEX(Variación!D$3:D$228,MATCH($G57,Variación!$A$3:$A$228,0)),1),1)</f>
        <v>9.6</v>
      </c>
      <c r="M57" s="20">
        <f>ROUND(INDEX('Stats base'!D$5:D$8,MATCH($C57,'Stats base'!$A$5:$A$8,0))*INDEX('Stats base'!D$12:D$14,MATCH($E57,'Stats base'!$A$12:$A$14,0))*INDEX('Stats base'!D$18:D$22,MATCH($J57,'Stats base'!$A$18:$A$22,0))*IFERROR(INDEX(Variación!E$3:E$228,MATCH($G57,Variación!$A$3:$A$228,0)),1),1)</f>
        <v>16.600000000000001</v>
      </c>
      <c r="N57" s="20">
        <f>ROUND(INDEX('Stats base'!E$5:E$8,MATCH($C57,'Stats base'!$A$5:$A$8,0))*INDEX('Stats base'!E$12:E$14,MATCH($E57,'Stats base'!$A$12:$A$14,0))*INDEX('Stats base'!E$18:E$22,MATCH($J57,'Stats base'!$A$18:$A$22,0))*IFERROR(INDEX(Variación!F$3:F$228,MATCH($G57,Variación!$A$3:$A$228,0)),1),1)</f>
        <v>3.4</v>
      </c>
      <c r="O57" s="19">
        <f>ROUND(INDEX('Stats base'!F$5:F$8,MATCH($C57,'Stats base'!$A$5:$A$8,0))*INDEX('Stats base'!F$12:F$14,MATCH($E57,'Stats base'!$A$12:$A$14,0))*INDEX('Stats base'!F$18:F$22,MATCH($J57,'Stats base'!$A$18:$A$22,0))*IFERROR(INDEX(Variación!G$3:G$228,MATCH($G57,Variación!$A$3:$A$228,0)),1),0)</f>
        <v>108</v>
      </c>
      <c r="P57" s="21">
        <f>MIN('Stats base'!$G$30,ROUND(INDEX('Stats base'!G$5:G$8,MATCH($C57,'Stats base'!$A$5:$A$8,0))*INDEX('Stats base'!G$12:G$14,MATCH($E57,'Stats base'!$A$12:$A$14,0))*INDEX('Stats base'!G$18:G$22,MATCH($J57,'Stats base'!$A$18:$A$22,0))*IFERROR(INDEX(Variación!H$3:H$228,MATCH($G57,Variación!$A$3:$A$228,0)),1),3))</f>
        <v>3.5999999999999997E-2</v>
      </c>
    </row>
    <row r="58" spans="1:16" ht="34.5" customHeight="1" x14ac:dyDescent="0.25">
      <c r="A58" s="15" t="s">
        <v>216</v>
      </c>
      <c r="B58" s="15" t="s">
        <v>217</v>
      </c>
      <c r="C58" s="16" t="s">
        <v>58</v>
      </c>
      <c r="D58" s="17" t="s">
        <v>29</v>
      </c>
      <c r="E58" s="16" t="s">
        <v>30</v>
      </c>
      <c r="F58" s="16" t="s">
        <v>43</v>
      </c>
      <c r="G58" s="18" t="s">
        <v>218</v>
      </c>
      <c r="H58" s="18"/>
      <c r="I58" s="18" t="s">
        <v>188</v>
      </c>
      <c r="J58" s="18" t="s">
        <v>85</v>
      </c>
      <c r="K58" s="19">
        <f>ROUND(INDEX('Stats base'!B$5:B$8,MATCH($C58,'Stats base'!$A$5:$A$8,0))*INDEX('Stats base'!B$12:B$14,MATCH($E58,'Stats base'!$A$12:$A$14,0))*INDEX('Stats base'!B$18:B$22,MATCH($J58,'Stats base'!$A$18:$A$22,0))*IFERROR(INDEX(Variación!C$3:C$228,MATCH($G58,Variación!$A$3:$A$228,0)),1),0)</f>
        <v>89</v>
      </c>
      <c r="L58" s="20">
        <f>ROUND(INDEX('Stats base'!C$5:C$8,MATCH($C58,'Stats base'!$A$5:$A$8,0))*INDEX('Stats base'!C$12:C$14,MATCH($E58,'Stats base'!$A$12:$A$14,0))*INDEX('Stats base'!C$18:C$22,MATCH($J58,'Stats base'!$A$18:$A$22,0))*IFERROR(INDEX(Variación!D$3:D$228,MATCH($G58,Variación!$A$3:$A$228,0)),1),1)</f>
        <v>9.5</v>
      </c>
      <c r="M58" s="20">
        <f>ROUND(INDEX('Stats base'!D$5:D$8,MATCH($C58,'Stats base'!$A$5:$A$8,0))*INDEX('Stats base'!D$12:D$14,MATCH($E58,'Stats base'!$A$12:$A$14,0))*INDEX('Stats base'!D$18:D$22,MATCH($J58,'Stats base'!$A$18:$A$22,0))*IFERROR(INDEX(Variación!E$3:E$228,MATCH($G58,Variación!$A$3:$A$228,0)),1),1)</f>
        <v>17</v>
      </c>
      <c r="N58" s="20">
        <f>ROUND(INDEX('Stats base'!E$5:E$8,MATCH($C58,'Stats base'!$A$5:$A$8,0))*INDEX('Stats base'!E$12:E$14,MATCH($E58,'Stats base'!$A$12:$A$14,0))*INDEX('Stats base'!E$18:E$22,MATCH($J58,'Stats base'!$A$18:$A$22,0))*IFERROR(INDEX(Variación!F$3:F$228,MATCH($G58,Variación!$A$3:$A$228,0)),1),1)</f>
        <v>3.9</v>
      </c>
      <c r="O58" s="19">
        <f>ROUND(INDEX('Stats base'!F$5:F$8,MATCH($C58,'Stats base'!$A$5:$A$8,0))*INDEX('Stats base'!F$12:F$14,MATCH($E58,'Stats base'!$A$12:$A$14,0))*INDEX('Stats base'!F$18:F$22,MATCH($J58,'Stats base'!$A$18:$A$22,0))*IFERROR(INDEX(Variación!G$3:G$228,MATCH($G58,Variación!$A$3:$A$228,0)),1),0)</f>
        <v>117</v>
      </c>
      <c r="P58" s="21">
        <f>MIN('Stats base'!$G$30,ROUND(INDEX('Stats base'!G$5:G$8,MATCH($C58,'Stats base'!$A$5:$A$8,0))*INDEX('Stats base'!G$12:G$14,MATCH($E58,'Stats base'!$A$12:$A$14,0))*INDEX('Stats base'!G$18:G$22,MATCH($J58,'Stats base'!$A$18:$A$22,0))*IFERROR(INDEX(Variación!H$3:H$228,MATCH($G58,Variación!$A$3:$A$228,0)),1),3))</f>
        <v>3.6999999999999998E-2</v>
      </c>
    </row>
    <row r="59" spans="1:16" ht="34.5" customHeight="1" x14ac:dyDescent="0.25">
      <c r="A59" s="15" t="s">
        <v>219</v>
      </c>
      <c r="B59" s="15" t="s">
        <v>220</v>
      </c>
      <c r="C59" s="16" t="s">
        <v>28</v>
      </c>
      <c r="D59" s="17" t="s">
        <v>29</v>
      </c>
      <c r="E59" s="16" t="s">
        <v>42</v>
      </c>
      <c r="F59" s="16" t="s">
        <v>43</v>
      </c>
      <c r="G59" s="18" t="s">
        <v>221</v>
      </c>
      <c r="H59" s="18"/>
      <c r="I59" s="18" t="s">
        <v>188</v>
      </c>
      <c r="J59" s="18" t="s">
        <v>85</v>
      </c>
      <c r="K59" s="19">
        <f>ROUND(INDEX('Stats base'!B$5:B$8,MATCH($C59,'Stats base'!$A$5:$A$8,0))*INDEX('Stats base'!B$12:B$14,MATCH($E59,'Stats base'!$A$12:$A$14,0))*INDEX('Stats base'!B$18:B$22,MATCH($J59,'Stats base'!$A$18:$A$22,0))*IFERROR(INDEX(Variación!C$3:C$228,MATCH($G59,Variación!$A$3:$A$228,0)),1),0)</f>
        <v>128</v>
      </c>
      <c r="L59" s="20">
        <f>ROUND(INDEX('Stats base'!C$5:C$8,MATCH($C59,'Stats base'!$A$5:$A$8,0))*INDEX('Stats base'!C$12:C$14,MATCH($E59,'Stats base'!$A$12:$A$14,0))*INDEX('Stats base'!C$18:C$22,MATCH($J59,'Stats base'!$A$18:$A$22,0))*IFERROR(INDEX(Variación!D$3:D$228,MATCH($G59,Variación!$A$3:$A$228,0)),1),1)</f>
        <v>8.3000000000000007</v>
      </c>
      <c r="M59" s="20">
        <f>ROUND(INDEX('Stats base'!D$5:D$8,MATCH($C59,'Stats base'!$A$5:$A$8,0))*INDEX('Stats base'!D$12:D$14,MATCH($E59,'Stats base'!$A$12:$A$14,0))*INDEX('Stats base'!D$18:D$22,MATCH($J59,'Stats base'!$A$18:$A$22,0))*IFERROR(INDEX(Variación!E$3:E$228,MATCH($G59,Variación!$A$3:$A$228,0)),1),1)</f>
        <v>17.600000000000001</v>
      </c>
      <c r="N59" s="20">
        <f>ROUND(INDEX('Stats base'!E$5:E$8,MATCH($C59,'Stats base'!$A$5:$A$8,0))*INDEX('Stats base'!E$12:E$14,MATCH($E59,'Stats base'!$A$12:$A$14,0))*INDEX('Stats base'!E$18:E$22,MATCH($J59,'Stats base'!$A$18:$A$22,0))*IFERROR(INDEX(Variación!F$3:F$228,MATCH($G59,Variación!$A$3:$A$228,0)),1),1)</f>
        <v>7.5</v>
      </c>
      <c r="O59" s="19">
        <f>ROUND(INDEX('Stats base'!F$5:F$8,MATCH($C59,'Stats base'!$A$5:$A$8,0))*INDEX('Stats base'!F$12:F$14,MATCH($E59,'Stats base'!$A$12:$A$14,0))*INDEX('Stats base'!F$18:F$22,MATCH($J59,'Stats base'!$A$18:$A$22,0))*IFERROR(INDEX(Variación!G$3:G$228,MATCH($G59,Variación!$A$3:$A$228,0)),1),0)</f>
        <v>79</v>
      </c>
      <c r="P59" s="21">
        <f>MIN('Stats base'!$G$30,ROUND(INDEX('Stats base'!G$5:G$8,MATCH($C59,'Stats base'!$A$5:$A$8,0))*INDEX('Stats base'!G$12:G$14,MATCH($E59,'Stats base'!$A$12:$A$14,0))*INDEX('Stats base'!G$18:G$22,MATCH($J59,'Stats base'!$A$18:$A$22,0))*IFERROR(INDEX(Variación!H$3:H$228,MATCH($G59,Variación!$A$3:$A$228,0)),1),3))</f>
        <v>7.0000000000000001E-3</v>
      </c>
    </row>
    <row r="60" spans="1:16" ht="34.5" customHeight="1" x14ac:dyDescent="0.25">
      <c r="A60" s="15" t="s">
        <v>222</v>
      </c>
      <c r="B60" s="15" t="s">
        <v>223</v>
      </c>
      <c r="C60" s="16" t="s">
        <v>68</v>
      </c>
      <c r="D60" s="17" t="s">
        <v>29</v>
      </c>
      <c r="E60" s="16" t="s">
        <v>30</v>
      </c>
      <c r="F60" s="16" t="s">
        <v>48</v>
      </c>
      <c r="G60" s="18" t="s">
        <v>224</v>
      </c>
      <c r="H60" s="18"/>
      <c r="I60" s="18" t="s">
        <v>188</v>
      </c>
      <c r="J60" s="18" t="s">
        <v>85</v>
      </c>
      <c r="K60" s="19">
        <f>ROUND(INDEX('Stats base'!B$5:B$8,MATCH($C60,'Stats base'!$A$5:$A$8,0))*INDEX('Stats base'!B$12:B$14,MATCH($E60,'Stats base'!$A$12:$A$14,0))*INDEX('Stats base'!B$18:B$22,MATCH($J60,'Stats base'!$A$18:$A$22,0))*IFERROR(INDEX(Variación!C$3:C$228,MATCH($G60,Variación!$A$3:$A$228,0)),1),0)</f>
        <v>82</v>
      </c>
      <c r="L60" s="20">
        <f>ROUND(INDEX('Stats base'!C$5:C$8,MATCH($C60,'Stats base'!$A$5:$A$8,0))*INDEX('Stats base'!C$12:C$14,MATCH($E60,'Stats base'!$A$12:$A$14,0))*INDEX('Stats base'!C$18:C$22,MATCH($J60,'Stats base'!$A$18:$A$22,0))*IFERROR(INDEX(Variación!D$3:D$228,MATCH($G60,Variación!$A$3:$A$228,0)),1),1)</f>
        <v>12.5</v>
      </c>
      <c r="M60" s="20">
        <f>ROUND(INDEX('Stats base'!D$5:D$8,MATCH($C60,'Stats base'!$A$5:$A$8,0))*INDEX('Stats base'!D$12:D$14,MATCH($E60,'Stats base'!$A$12:$A$14,0))*INDEX('Stats base'!D$18:D$22,MATCH($J60,'Stats base'!$A$18:$A$22,0))*IFERROR(INDEX(Variación!E$3:E$228,MATCH($G60,Variación!$A$3:$A$228,0)),1),1)</f>
        <v>21</v>
      </c>
      <c r="N60" s="20">
        <f>ROUND(INDEX('Stats base'!E$5:E$8,MATCH($C60,'Stats base'!$A$5:$A$8,0))*INDEX('Stats base'!E$12:E$14,MATCH($E60,'Stats base'!$A$12:$A$14,0))*INDEX('Stats base'!E$18:E$22,MATCH($J60,'Stats base'!$A$18:$A$22,0))*IFERROR(INDEX(Variación!F$3:F$228,MATCH($G60,Variación!$A$3:$A$228,0)),1),1)</f>
        <v>3</v>
      </c>
      <c r="O60" s="19">
        <f>ROUND(INDEX('Stats base'!F$5:F$8,MATCH($C60,'Stats base'!$A$5:$A$8,0))*INDEX('Stats base'!F$12:F$14,MATCH($E60,'Stats base'!$A$12:$A$14,0))*INDEX('Stats base'!F$18:F$22,MATCH($J60,'Stats base'!$A$18:$A$22,0))*IFERROR(INDEX(Variación!G$3:G$228,MATCH($G60,Variación!$A$3:$A$228,0)),1),0)</f>
        <v>97</v>
      </c>
      <c r="P60" s="21">
        <f>MIN('Stats base'!$G$30,ROUND(INDEX('Stats base'!G$5:G$8,MATCH($C60,'Stats base'!$A$5:$A$8,0))*INDEX('Stats base'!G$12:G$14,MATCH($E60,'Stats base'!$A$12:$A$14,0))*INDEX('Stats base'!G$18:G$22,MATCH($J60,'Stats base'!$A$18:$A$22,0))*IFERROR(INDEX(Variación!H$3:H$228,MATCH($G60,Variación!$A$3:$A$228,0)),1),3))</f>
        <v>1.9E-2</v>
      </c>
    </row>
    <row r="61" spans="1:16" ht="34.5" customHeight="1" x14ac:dyDescent="0.25">
      <c r="A61" s="15" t="s">
        <v>225</v>
      </c>
      <c r="B61" s="15" t="s">
        <v>226</v>
      </c>
      <c r="C61" s="16" t="s">
        <v>68</v>
      </c>
      <c r="D61" s="17" t="s">
        <v>29</v>
      </c>
      <c r="E61" s="16" t="s">
        <v>30</v>
      </c>
      <c r="F61" s="16" t="s">
        <v>38</v>
      </c>
      <c r="G61" s="18" t="s">
        <v>227</v>
      </c>
      <c r="H61" s="18"/>
      <c r="I61" s="18" t="s">
        <v>188</v>
      </c>
      <c r="J61" s="18" t="s">
        <v>85</v>
      </c>
      <c r="K61" s="19">
        <f>ROUND(INDEX('Stats base'!B$5:B$8,MATCH($C61,'Stats base'!$A$5:$A$8,0))*INDEX('Stats base'!B$12:B$14,MATCH($E61,'Stats base'!$A$12:$A$14,0))*INDEX('Stats base'!B$18:B$22,MATCH($J61,'Stats base'!$A$18:$A$22,0))*IFERROR(INDEX(Variación!C$3:C$228,MATCH($G61,Variación!$A$3:$A$228,0)),1),0)</f>
        <v>78</v>
      </c>
      <c r="L61" s="20">
        <f>ROUND(INDEX('Stats base'!C$5:C$8,MATCH($C61,'Stats base'!$A$5:$A$8,0))*INDEX('Stats base'!C$12:C$14,MATCH($E61,'Stats base'!$A$12:$A$14,0))*INDEX('Stats base'!C$18:C$22,MATCH($J61,'Stats base'!$A$18:$A$22,0))*IFERROR(INDEX(Variación!D$3:D$228,MATCH($G61,Variación!$A$3:$A$228,0)),1),1)</f>
        <v>11.8</v>
      </c>
      <c r="M61" s="20">
        <f>ROUND(INDEX('Stats base'!D$5:D$8,MATCH($C61,'Stats base'!$A$5:$A$8,0))*INDEX('Stats base'!D$12:D$14,MATCH($E61,'Stats base'!$A$12:$A$14,0))*INDEX('Stats base'!D$18:D$22,MATCH($J61,'Stats base'!$A$18:$A$22,0))*IFERROR(INDEX(Variación!E$3:E$228,MATCH($G61,Variación!$A$3:$A$228,0)),1),1)</f>
        <v>18.8</v>
      </c>
      <c r="N61" s="20">
        <f>ROUND(INDEX('Stats base'!E$5:E$8,MATCH($C61,'Stats base'!$A$5:$A$8,0))*INDEX('Stats base'!E$12:E$14,MATCH($E61,'Stats base'!$A$12:$A$14,0))*INDEX('Stats base'!E$18:E$22,MATCH($J61,'Stats base'!$A$18:$A$22,0))*IFERROR(INDEX(Variación!F$3:F$228,MATCH($G61,Variación!$A$3:$A$228,0)),1),1)</f>
        <v>3.1</v>
      </c>
      <c r="O61" s="19">
        <f>ROUND(INDEX('Stats base'!F$5:F$8,MATCH($C61,'Stats base'!$A$5:$A$8,0))*INDEX('Stats base'!F$12:F$14,MATCH($E61,'Stats base'!$A$12:$A$14,0))*INDEX('Stats base'!F$18:F$22,MATCH($J61,'Stats base'!$A$18:$A$22,0))*IFERROR(INDEX(Variación!G$3:G$228,MATCH($G61,Variación!$A$3:$A$228,0)),1),0)</f>
        <v>102</v>
      </c>
      <c r="P61" s="21">
        <f>MIN('Stats base'!$G$30,ROUND(INDEX('Stats base'!G$5:G$8,MATCH($C61,'Stats base'!$A$5:$A$8,0))*INDEX('Stats base'!G$12:G$14,MATCH($E61,'Stats base'!$A$12:$A$14,0))*INDEX('Stats base'!G$18:G$22,MATCH($J61,'Stats base'!$A$18:$A$22,0))*IFERROR(INDEX(Variación!H$3:H$228,MATCH($G61,Variación!$A$3:$A$228,0)),1),3))</f>
        <v>0.02</v>
      </c>
    </row>
    <row r="62" spans="1:16" ht="34.5" customHeight="1" x14ac:dyDescent="0.25">
      <c r="A62" s="15" t="s">
        <v>228</v>
      </c>
      <c r="B62" s="15" t="s">
        <v>229</v>
      </c>
      <c r="C62" s="16" t="s">
        <v>68</v>
      </c>
      <c r="D62" s="17" t="s">
        <v>29</v>
      </c>
      <c r="E62" s="16" t="s">
        <v>30</v>
      </c>
      <c r="F62" s="16" t="s">
        <v>48</v>
      </c>
      <c r="G62" s="18" t="s">
        <v>230</v>
      </c>
      <c r="H62" s="18"/>
      <c r="I62" s="18" t="s">
        <v>188</v>
      </c>
      <c r="J62" s="18" t="s">
        <v>85</v>
      </c>
      <c r="K62" s="19">
        <f>ROUND(INDEX('Stats base'!B$5:B$8,MATCH($C62,'Stats base'!$A$5:$A$8,0))*INDEX('Stats base'!B$12:B$14,MATCH($E62,'Stats base'!$A$12:$A$14,0))*INDEX('Stats base'!B$18:B$22,MATCH($J62,'Stats base'!$A$18:$A$22,0))*IFERROR(INDEX(Variación!C$3:C$228,MATCH($G62,Variación!$A$3:$A$228,0)),1),0)</f>
        <v>73</v>
      </c>
      <c r="L62" s="20">
        <f>ROUND(INDEX('Stats base'!C$5:C$8,MATCH($C62,'Stats base'!$A$5:$A$8,0))*INDEX('Stats base'!C$12:C$14,MATCH($E62,'Stats base'!$A$12:$A$14,0))*INDEX('Stats base'!C$18:C$22,MATCH($J62,'Stats base'!$A$18:$A$22,0))*IFERROR(INDEX(Variación!D$3:D$228,MATCH($G62,Variación!$A$3:$A$228,0)),1),1)</f>
        <v>12</v>
      </c>
      <c r="M62" s="20">
        <f>ROUND(INDEX('Stats base'!D$5:D$8,MATCH($C62,'Stats base'!$A$5:$A$8,0))*INDEX('Stats base'!D$12:D$14,MATCH($E62,'Stats base'!$A$12:$A$14,0))*INDEX('Stats base'!D$18:D$22,MATCH($J62,'Stats base'!$A$18:$A$22,0))*IFERROR(INDEX(Variación!E$3:E$228,MATCH($G62,Variación!$A$3:$A$228,0)),1),1)</f>
        <v>20.2</v>
      </c>
      <c r="N62" s="20">
        <f>ROUND(INDEX('Stats base'!E$5:E$8,MATCH($C62,'Stats base'!$A$5:$A$8,0))*INDEX('Stats base'!E$12:E$14,MATCH($E62,'Stats base'!$A$12:$A$14,0))*INDEX('Stats base'!E$18:E$22,MATCH($J62,'Stats base'!$A$18:$A$22,0))*IFERROR(INDEX(Variación!F$3:F$228,MATCH($G62,Variación!$A$3:$A$228,0)),1),1)</f>
        <v>2.8</v>
      </c>
      <c r="O62" s="19">
        <f>ROUND(INDEX('Stats base'!F$5:F$8,MATCH($C62,'Stats base'!$A$5:$A$8,0))*INDEX('Stats base'!F$12:F$14,MATCH($E62,'Stats base'!$A$12:$A$14,0))*INDEX('Stats base'!F$18:F$22,MATCH($J62,'Stats base'!$A$18:$A$22,0))*IFERROR(INDEX(Variación!G$3:G$228,MATCH($G62,Variación!$A$3:$A$228,0)),1),0)</f>
        <v>104</v>
      </c>
      <c r="P62" s="21">
        <f>MIN('Stats base'!$G$30,ROUND(INDEX('Stats base'!G$5:G$8,MATCH($C62,'Stats base'!$A$5:$A$8,0))*INDEX('Stats base'!G$12:G$14,MATCH($E62,'Stats base'!$A$12:$A$14,0))*INDEX('Stats base'!G$18:G$22,MATCH($J62,'Stats base'!$A$18:$A$22,0))*IFERROR(INDEX(Variación!H$3:H$228,MATCH($G62,Variación!$A$3:$A$228,0)),1),3))</f>
        <v>2.1000000000000001E-2</v>
      </c>
    </row>
    <row r="63" spans="1:16" ht="34.5" customHeight="1" x14ac:dyDescent="0.25">
      <c r="A63" s="15" t="s">
        <v>231</v>
      </c>
      <c r="B63" s="15" t="s">
        <v>232</v>
      </c>
      <c r="C63" s="16" t="s">
        <v>58</v>
      </c>
      <c r="D63" s="17" t="s">
        <v>29</v>
      </c>
      <c r="E63" s="16" t="s">
        <v>30</v>
      </c>
      <c r="F63" s="16" t="s">
        <v>48</v>
      </c>
      <c r="G63" s="18" t="s">
        <v>233</v>
      </c>
      <c r="H63" s="18"/>
      <c r="I63" s="18" t="s">
        <v>188</v>
      </c>
      <c r="J63" s="18" t="s">
        <v>85</v>
      </c>
      <c r="K63" s="19">
        <f>ROUND(INDEX('Stats base'!B$5:B$8,MATCH($C63,'Stats base'!$A$5:$A$8,0))*INDEX('Stats base'!B$12:B$14,MATCH($E63,'Stats base'!$A$12:$A$14,0))*INDEX('Stats base'!B$18:B$22,MATCH($J63,'Stats base'!$A$18:$A$22,0))*IFERROR(INDEX(Variación!C$3:C$228,MATCH($G63,Variación!$A$3:$A$228,0)),1),0)</f>
        <v>85</v>
      </c>
      <c r="L63" s="20">
        <f>ROUND(INDEX('Stats base'!C$5:C$8,MATCH($C63,'Stats base'!$A$5:$A$8,0))*INDEX('Stats base'!C$12:C$14,MATCH($E63,'Stats base'!$A$12:$A$14,0))*INDEX('Stats base'!C$18:C$22,MATCH($J63,'Stats base'!$A$18:$A$22,0))*IFERROR(INDEX(Variación!D$3:D$228,MATCH($G63,Variación!$A$3:$A$228,0)),1),1)</f>
        <v>9.6</v>
      </c>
      <c r="M63" s="20">
        <f>ROUND(INDEX('Stats base'!D$5:D$8,MATCH($C63,'Stats base'!$A$5:$A$8,0))*INDEX('Stats base'!D$12:D$14,MATCH($E63,'Stats base'!$A$12:$A$14,0))*INDEX('Stats base'!D$18:D$22,MATCH($J63,'Stats base'!$A$18:$A$22,0))*IFERROR(INDEX(Variación!E$3:E$228,MATCH($G63,Variación!$A$3:$A$228,0)),1),1)</f>
        <v>17.3</v>
      </c>
      <c r="N63" s="20">
        <f>ROUND(INDEX('Stats base'!E$5:E$8,MATCH($C63,'Stats base'!$A$5:$A$8,0))*INDEX('Stats base'!E$12:E$14,MATCH($E63,'Stats base'!$A$12:$A$14,0))*INDEX('Stats base'!E$18:E$22,MATCH($J63,'Stats base'!$A$18:$A$22,0))*IFERROR(INDEX(Variación!F$3:F$228,MATCH($G63,Variación!$A$3:$A$228,0)),1),1)</f>
        <v>4</v>
      </c>
      <c r="O63" s="19">
        <f>ROUND(INDEX('Stats base'!F$5:F$8,MATCH($C63,'Stats base'!$A$5:$A$8,0))*INDEX('Stats base'!F$12:F$14,MATCH($E63,'Stats base'!$A$12:$A$14,0))*INDEX('Stats base'!F$18:F$22,MATCH($J63,'Stats base'!$A$18:$A$22,0))*IFERROR(INDEX(Variación!G$3:G$228,MATCH($G63,Variación!$A$3:$A$228,0)),1),0)</f>
        <v>112</v>
      </c>
      <c r="P63" s="21">
        <f>MIN('Stats base'!$G$30,ROUND(INDEX('Stats base'!G$5:G$8,MATCH($C63,'Stats base'!$A$5:$A$8,0))*INDEX('Stats base'!G$12:G$14,MATCH($E63,'Stats base'!$A$12:$A$14,0))*INDEX('Stats base'!G$18:G$22,MATCH($J63,'Stats base'!$A$18:$A$22,0))*IFERROR(INDEX(Variación!H$3:H$228,MATCH($G63,Variación!$A$3:$A$228,0)),1),3))</f>
        <v>3.4000000000000002E-2</v>
      </c>
    </row>
    <row r="64" spans="1:16" ht="34.5" hidden="1" customHeight="1" x14ac:dyDescent="0.25">
      <c r="A64" s="15" t="s">
        <v>234</v>
      </c>
      <c r="B64" s="15" t="s">
        <v>235</v>
      </c>
      <c r="C64" s="16" t="s">
        <v>28</v>
      </c>
      <c r="D64" s="17" t="s">
        <v>29</v>
      </c>
      <c r="E64" s="16" t="s">
        <v>42</v>
      </c>
      <c r="F64" s="16" t="s">
        <v>54</v>
      </c>
      <c r="G64" s="18" t="s">
        <v>236</v>
      </c>
      <c r="H64" s="18"/>
      <c r="I64" s="18" t="s">
        <v>237</v>
      </c>
      <c r="J64" s="18" t="s">
        <v>70</v>
      </c>
      <c r="K64" s="19">
        <f>ROUND(INDEX('Stats base'!B$5:B$8,MATCH($C64,'Stats base'!$A$5:$A$8,0))*INDEX('Stats base'!B$12:B$14,MATCH($E64,'Stats base'!$A$12:$A$14,0))*INDEX('Stats base'!B$18:B$22,MATCH($J64,'Stats base'!$A$18:$A$22,0))*IFERROR(INDEX(Variación!C$3:C$228,MATCH($G64,Variación!$A$3:$A$228,0)),1),0)</f>
        <v>168</v>
      </c>
      <c r="L64" s="20">
        <f>ROUND(INDEX('Stats base'!C$5:C$8,MATCH($C64,'Stats base'!$A$5:$A$8,0))*INDEX('Stats base'!C$12:C$14,MATCH($E64,'Stats base'!$A$12:$A$14,0))*INDEX('Stats base'!C$18:C$22,MATCH($J64,'Stats base'!$A$18:$A$22,0))*IFERROR(INDEX(Variación!D$3:D$228,MATCH($G64,Variación!$A$3:$A$228,0)),1),1)</f>
        <v>10.4</v>
      </c>
      <c r="M64" s="20">
        <f>ROUND(INDEX('Stats base'!D$5:D$8,MATCH($C64,'Stats base'!$A$5:$A$8,0))*INDEX('Stats base'!D$12:D$14,MATCH($E64,'Stats base'!$A$12:$A$14,0))*INDEX('Stats base'!D$18:D$22,MATCH($J64,'Stats base'!$A$18:$A$22,0))*IFERROR(INDEX(Variación!E$3:E$228,MATCH($G64,Variación!$A$3:$A$228,0)),1),1)</f>
        <v>22.7</v>
      </c>
      <c r="N64" s="20">
        <f>ROUND(INDEX('Stats base'!E$5:E$8,MATCH($C64,'Stats base'!$A$5:$A$8,0))*INDEX('Stats base'!E$12:E$14,MATCH($E64,'Stats base'!$A$12:$A$14,0))*INDEX('Stats base'!E$18:E$22,MATCH($J64,'Stats base'!$A$18:$A$22,0))*IFERROR(INDEX(Variación!F$3:F$228,MATCH($G64,Variación!$A$3:$A$228,0)),1),1)</f>
        <v>9.8000000000000007</v>
      </c>
      <c r="O64" s="19">
        <f>ROUND(INDEX('Stats base'!F$5:F$8,MATCH($C64,'Stats base'!$A$5:$A$8,0))*INDEX('Stats base'!F$12:F$14,MATCH($E64,'Stats base'!$A$12:$A$14,0))*INDEX('Stats base'!F$18:F$22,MATCH($J64,'Stats base'!$A$18:$A$22,0))*IFERROR(INDEX(Variación!G$3:G$228,MATCH($G64,Variación!$A$3:$A$228,0)),1),0)</f>
        <v>73</v>
      </c>
      <c r="P64" s="21">
        <f>MIN('Stats base'!$G$30,ROUND(INDEX('Stats base'!G$5:G$8,MATCH($C64,'Stats base'!$A$5:$A$8,0))*INDEX('Stats base'!G$12:G$14,MATCH($E64,'Stats base'!$A$12:$A$14,0))*INDEX('Stats base'!G$18:G$22,MATCH($J64,'Stats base'!$A$18:$A$22,0))*IFERROR(INDEX(Variación!H$3:H$228,MATCH($G64,Variación!$A$3:$A$228,0)),1),3))</f>
        <v>1.0999999999999999E-2</v>
      </c>
    </row>
    <row r="65" spans="1:16" ht="34.5" hidden="1" customHeight="1" x14ac:dyDescent="0.25">
      <c r="A65" s="15" t="s">
        <v>238</v>
      </c>
      <c r="B65" s="15" t="s">
        <v>239</v>
      </c>
      <c r="C65" s="16" t="s">
        <v>58</v>
      </c>
      <c r="D65" s="17" t="s">
        <v>29</v>
      </c>
      <c r="E65" s="16" t="s">
        <v>53</v>
      </c>
      <c r="F65" s="16" t="s">
        <v>54</v>
      </c>
      <c r="G65" s="18" t="s">
        <v>240</v>
      </c>
      <c r="H65" s="18"/>
      <c r="I65" s="18" t="s">
        <v>237</v>
      </c>
      <c r="J65" s="18" t="s">
        <v>45</v>
      </c>
      <c r="K65" s="19">
        <f>ROUND(INDEX('Stats base'!B$5:B$8,MATCH($C65,'Stats base'!$A$5:$A$8,0))*INDEX('Stats base'!B$12:B$14,MATCH($E65,'Stats base'!$A$12:$A$14,0))*INDEX('Stats base'!B$18:B$22,MATCH($J65,'Stats base'!$A$18:$A$22,0))*IFERROR(INDEX(Variación!C$3:C$228,MATCH($G65,Variación!$A$3:$A$228,0)),1),0)</f>
        <v>112</v>
      </c>
      <c r="L65" s="20">
        <f>ROUND(INDEX('Stats base'!C$5:C$8,MATCH($C65,'Stats base'!$A$5:$A$8,0))*INDEX('Stats base'!C$12:C$14,MATCH($E65,'Stats base'!$A$12:$A$14,0))*INDEX('Stats base'!C$18:C$22,MATCH($J65,'Stats base'!$A$18:$A$22,0))*IFERROR(INDEX(Variación!D$3:D$228,MATCH($G65,Variación!$A$3:$A$228,0)),1),1)</f>
        <v>13.8</v>
      </c>
      <c r="M65" s="20">
        <f>ROUND(INDEX('Stats base'!D$5:D$8,MATCH($C65,'Stats base'!$A$5:$A$8,0))*INDEX('Stats base'!D$12:D$14,MATCH($E65,'Stats base'!$A$12:$A$14,0))*INDEX('Stats base'!D$18:D$22,MATCH($J65,'Stats base'!$A$18:$A$22,0))*IFERROR(INDEX(Variación!E$3:E$228,MATCH($G65,Variación!$A$3:$A$228,0)),1),1)</f>
        <v>22.9</v>
      </c>
      <c r="N65" s="20">
        <f>ROUND(INDEX('Stats base'!E$5:E$8,MATCH($C65,'Stats base'!$A$5:$A$8,0))*INDEX('Stats base'!E$12:E$14,MATCH($E65,'Stats base'!$A$12:$A$14,0))*INDEX('Stats base'!E$18:E$22,MATCH($J65,'Stats base'!$A$18:$A$22,0))*IFERROR(INDEX(Variación!F$3:F$228,MATCH($G65,Variación!$A$3:$A$228,0)),1),1)</f>
        <v>4.9000000000000004</v>
      </c>
      <c r="O65" s="19">
        <f>ROUND(INDEX('Stats base'!F$5:F$8,MATCH($C65,'Stats base'!$A$5:$A$8,0))*INDEX('Stats base'!F$12:F$14,MATCH($E65,'Stats base'!$A$12:$A$14,0))*INDEX('Stats base'!F$18:F$22,MATCH($J65,'Stats base'!$A$18:$A$22,0))*IFERROR(INDEX(Variación!G$3:G$228,MATCH($G65,Variación!$A$3:$A$228,0)),1),0)</f>
        <v>123</v>
      </c>
      <c r="P65" s="21">
        <f>MIN('Stats base'!$G$30,ROUND(INDEX('Stats base'!G$5:G$8,MATCH($C65,'Stats base'!$A$5:$A$8,0))*INDEX('Stats base'!G$12:G$14,MATCH($E65,'Stats base'!$A$12:$A$14,0))*INDEX('Stats base'!G$18:G$22,MATCH($J65,'Stats base'!$A$18:$A$22,0))*IFERROR(INDEX(Variación!H$3:H$228,MATCH($G65,Variación!$A$3:$A$228,0)),1),3))</f>
        <v>7.0000000000000007E-2</v>
      </c>
    </row>
    <row r="66" spans="1:16" ht="34.5" customHeight="1" x14ac:dyDescent="0.25">
      <c r="A66" s="15" t="s">
        <v>241</v>
      </c>
      <c r="B66" s="15" t="s">
        <v>242</v>
      </c>
      <c r="C66" s="16" t="s">
        <v>37</v>
      </c>
      <c r="D66" s="17" t="s">
        <v>29</v>
      </c>
      <c r="E66" s="16" t="s">
        <v>53</v>
      </c>
      <c r="F66" s="16" t="s">
        <v>48</v>
      </c>
      <c r="G66" s="18" t="s">
        <v>243</v>
      </c>
      <c r="H66" s="18"/>
      <c r="I66" s="18" t="s">
        <v>237</v>
      </c>
      <c r="J66" s="18" t="s">
        <v>85</v>
      </c>
      <c r="K66" s="19">
        <f>ROUND(INDEX('Stats base'!B$5:B$8,MATCH($C66,'Stats base'!$A$5:$A$8,0))*INDEX('Stats base'!B$12:B$14,MATCH($E66,'Stats base'!$A$12:$A$14,0))*INDEX('Stats base'!B$18:B$22,MATCH($J66,'Stats base'!$A$18:$A$22,0))*IFERROR(INDEX(Variación!C$3:C$228,MATCH($G66,Variación!$A$3:$A$228,0)),1),0)</f>
        <v>126</v>
      </c>
      <c r="L66" s="20">
        <f>ROUND(INDEX('Stats base'!C$5:C$8,MATCH($C66,'Stats base'!$A$5:$A$8,0))*INDEX('Stats base'!C$12:C$14,MATCH($E66,'Stats base'!$A$12:$A$14,0))*INDEX('Stats base'!C$18:C$22,MATCH($J66,'Stats base'!$A$18:$A$22,0))*IFERROR(INDEX(Variación!D$3:D$228,MATCH($G66,Variación!$A$3:$A$228,0)),1),1)</f>
        <v>5.9</v>
      </c>
      <c r="M66" s="20">
        <f>ROUND(INDEX('Stats base'!D$5:D$8,MATCH($C66,'Stats base'!$A$5:$A$8,0))*INDEX('Stats base'!D$12:D$14,MATCH($E66,'Stats base'!$A$12:$A$14,0))*INDEX('Stats base'!D$18:D$22,MATCH($J66,'Stats base'!$A$18:$A$22,0))*IFERROR(INDEX(Variación!E$3:E$228,MATCH($G66,Variación!$A$3:$A$228,0)),1),1)</f>
        <v>10.3</v>
      </c>
      <c r="N66" s="20">
        <f>ROUND(INDEX('Stats base'!E$5:E$8,MATCH($C66,'Stats base'!$A$5:$A$8,0))*INDEX('Stats base'!E$12:E$14,MATCH($E66,'Stats base'!$A$12:$A$14,0))*INDEX('Stats base'!E$18:E$22,MATCH($J66,'Stats base'!$A$18:$A$22,0))*IFERROR(INDEX(Variación!F$3:F$228,MATCH($G66,Variación!$A$3:$A$228,0)),1),1)</f>
        <v>7.9</v>
      </c>
      <c r="O66" s="19">
        <f>ROUND(INDEX('Stats base'!F$5:F$8,MATCH($C66,'Stats base'!$A$5:$A$8,0))*INDEX('Stats base'!F$12:F$14,MATCH($E66,'Stats base'!$A$12:$A$14,0))*INDEX('Stats base'!F$18:F$22,MATCH($J66,'Stats base'!$A$18:$A$22,0))*IFERROR(INDEX(Variación!G$3:G$228,MATCH($G66,Variación!$A$3:$A$228,0)),1),0)</f>
        <v>103</v>
      </c>
      <c r="P66" s="21">
        <f>MIN('Stats base'!$G$30,ROUND(INDEX('Stats base'!G$5:G$8,MATCH($C66,'Stats base'!$A$5:$A$8,0))*INDEX('Stats base'!G$12:G$14,MATCH($E66,'Stats base'!$A$12:$A$14,0))*INDEX('Stats base'!G$18:G$22,MATCH($J66,'Stats base'!$A$18:$A$22,0))*IFERROR(INDEX(Variación!H$3:H$228,MATCH($G66,Variación!$A$3:$A$228,0)),1),3))</f>
        <v>1.2999999999999999E-2</v>
      </c>
    </row>
    <row r="67" spans="1:16" ht="34.5" hidden="1" customHeight="1" x14ac:dyDescent="0.25">
      <c r="A67" s="15" t="s">
        <v>244</v>
      </c>
      <c r="B67" s="15" t="s">
        <v>245</v>
      </c>
      <c r="C67" s="16" t="s">
        <v>37</v>
      </c>
      <c r="D67" s="17" t="s">
        <v>29</v>
      </c>
      <c r="E67" s="16" t="s">
        <v>30</v>
      </c>
      <c r="F67" s="16" t="s">
        <v>48</v>
      </c>
      <c r="G67" s="18" t="s">
        <v>246</v>
      </c>
      <c r="H67" s="18"/>
      <c r="I67" s="18" t="s">
        <v>237</v>
      </c>
      <c r="J67" s="18" t="s">
        <v>50</v>
      </c>
      <c r="K67" s="19">
        <f>ROUND(INDEX('Stats base'!B$5:B$8,MATCH($C67,'Stats base'!$A$5:$A$8,0))*INDEX('Stats base'!B$12:B$14,MATCH($E67,'Stats base'!$A$12:$A$14,0))*INDEX('Stats base'!B$18:B$22,MATCH($J67,'Stats base'!$A$18:$A$22,0))*IFERROR(INDEX(Variación!C$3:C$228,MATCH($G67,Variación!$A$3:$A$228,0)),1),0)</f>
        <v>150</v>
      </c>
      <c r="L67" s="20">
        <f>ROUND(INDEX('Stats base'!C$5:C$8,MATCH($C67,'Stats base'!$A$5:$A$8,0))*INDEX('Stats base'!C$12:C$14,MATCH($E67,'Stats base'!$A$12:$A$14,0))*INDEX('Stats base'!C$18:C$22,MATCH($J67,'Stats base'!$A$18:$A$22,0))*IFERROR(INDEX(Variación!D$3:D$228,MATCH($G67,Variación!$A$3:$A$228,0)),1),1)</f>
        <v>7.4</v>
      </c>
      <c r="M67" s="20">
        <f>ROUND(INDEX('Stats base'!D$5:D$8,MATCH($C67,'Stats base'!$A$5:$A$8,0))*INDEX('Stats base'!D$12:D$14,MATCH($E67,'Stats base'!$A$12:$A$14,0))*INDEX('Stats base'!D$18:D$22,MATCH($J67,'Stats base'!$A$18:$A$22,0))*IFERROR(INDEX(Variación!E$3:E$228,MATCH($G67,Variación!$A$3:$A$228,0)),1),1)</f>
        <v>13.3</v>
      </c>
      <c r="N67" s="20">
        <f>ROUND(INDEX('Stats base'!E$5:E$8,MATCH($C67,'Stats base'!$A$5:$A$8,0))*INDEX('Stats base'!E$12:E$14,MATCH($E67,'Stats base'!$A$12:$A$14,0))*INDEX('Stats base'!E$18:E$22,MATCH($J67,'Stats base'!$A$18:$A$22,0))*IFERROR(INDEX(Variación!F$3:F$228,MATCH($G67,Variación!$A$3:$A$228,0)),1),1)</f>
        <v>9.1999999999999993</v>
      </c>
      <c r="O67" s="19">
        <f>ROUND(INDEX('Stats base'!F$5:F$8,MATCH($C67,'Stats base'!$A$5:$A$8,0))*INDEX('Stats base'!F$12:F$14,MATCH($E67,'Stats base'!$A$12:$A$14,0))*INDEX('Stats base'!F$18:F$22,MATCH($J67,'Stats base'!$A$18:$A$22,0))*IFERROR(INDEX(Variación!G$3:G$228,MATCH($G67,Variación!$A$3:$A$228,0)),1),0)</f>
        <v>88</v>
      </c>
      <c r="P67" s="21">
        <f>MIN('Stats base'!$G$30,ROUND(INDEX('Stats base'!G$5:G$8,MATCH($C67,'Stats base'!$A$5:$A$8,0))*INDEX('Stats base'!G$12:G$14,MATCH($E67,'Stats base'!$A$12:$A$14,0))*INDEX('Stats base'!G$18:G$22,MATCH($J67,'Stats base'!$A$18:$A$22,0))*IFERROR(INDEX(Variación!H$3:H$228,MATCH($G67,Variación!$A$3:$A$228,0)),1),3))</f>
        <v>1.4E-2</v>
      </c>
    </row>
    <row r="68" spans="1:16" ht="34.5" hidden="1" customHeight="1" x14ac:dyDescent="0.25">
      <c r="A68" s="15" t="s">
        <v>247</v>
      </c>
      <c r="B68" s="15" t="s">
        <v>248</v>
      </c>
      <c r="C68" s="16" t="s">
        <v>37</v>
      </c>
      <c r="D68" s="17" t="s">
        <v>29</v>
      </c>
      <c r="E68" s="16" t="s">
        <v>42</v>
      </c>
      <c r="F68" s="16" t="s">
        <v>43</v>
      </c>
      <c r="G68" s="18" t="s">
        <v>249</v>
      </c>
      <c r="H68" s="18"/>
      <c r="I68" s="18" t="s">
        <v>237</v>
      </c>
      <c r="J68" s="18" t="s">
        <v>50</v>
      </c>
      <c r="K68" s="19">
        <f>ROUND(INDEX('Stats base'!B$5:B$8,MATCH($C68,'Stats base'!$A$5:$A$8,0))*INDEX('Stats base'!B$12:B$14,MATCH($E68,'Stats base'!$A$12:$A$14,0))*INDEX('Stats base'!B$18:B$22,MATCH($J68,'Stats base'!$A$18:$A$22,0))*IFERROR(INDEX(Variación!C$3:C$228,MATCH($G68,Variación!$A$3:$A$228,0)),1),0)</f>
        <v>160</v>
      </c>
      <c r="L68" s="20">
        <f>ROUND(INDEX('Stats base'!C$5:C$8,MATCH($C68,'Stats base'!$A$5:$A$8,0))*INDEX('Stats base'!C$12:C$14,MATCH($E68,'Stats base'!$A$12:$A$14,0))*INDEX('Stats base'!C$18:C$22,MATCH($J68,'Stats base'!$A$18:$A$22,0))*IFERROR(INDEX(Variación!D$3:D$228,MATCH($G68,Variación!$A$3:$A$228,0)),1),1)</f>
        <v>8.1999999999999993</v>
      </c>
      <c r="M68" s="20">
        <f>ROUND(INDEX('Stats base'!D$5:D$8,MATCH($C68,'Stats base'!$A$5:$A$8,0))*INDEX('Stats base'!D$12:D$14,MATCH($E68,'Stats base'!$A$12:$A$14,0))*INDEX('Stats base'!D$18:D$22,MATCH($J68,'Stats base'!$A$18:$A$22,0))*IFERROR(INDEX(Variación!E$3:E$228,MATCH($G68,Variación!$A$3:$A$228,0)),1),1)</f>
        <v>15.1</v>
      </c>
      <c r="N68" s="20">
        <f>ROUND(INDEX('Stats base'!E$5:E$8,MATCH($C68,'Stats base'!$A$5:$A$8,0))*INDEX('Stats base'!E$12:E$14,MATCH($E68,'Stats base'!$A$12:$A$14,0))*INDEX('Stats base'!E$18:E$22,MATCH($J68,'Stats base'!$A$18:$A$22,0))*IFERROR(INDEX(Variación!F$3:F$228,MATCH($G68,Variación!$A$3:$A$228,0)),1),1)</f>
        <v>10.4</v>
      </c>
      <c r="O68" s="19">
        <f>ROUND(INDEX('Stats base'!F$5:F$8,MATCH($C68,'Stats base'!$A$5:$A$8,0))*INDEX('Stats base'!F$12:F$14,MATCH($E68,'Stats base'!$A$12:$A$14,0))*INDEX('Stats base'!F$18:F$22,MATCH($J68,'Stats base'!$A$18:$A$22,0))*IFERROR(INDEX(Variación!G$3:G$228,MATCH($G68,Variación!$A$3:$A$228,0)),1),0)</f>
        <v>76</v>
      </c>
      <c r="P68" s="21">
        <f>MIN('Stats base'!$G$30,ROUND(INDEX('Stats base'!G$5:G$8,MATCH($C68,'Stats base'!$A$5:$A$8,0))*INDEX('Stats base'!G$12:G$14,MATCH($E68,'Stats base'!$A$12:$A$14,0))*INDEX('Stats base'!G$18:G$22,MATCH($J68,'Stats base'!$A$18:$A$22,0))*IFERROR(INDEX(Variación!H$3:H$228,MATCH($G68,Variación!$A$3:$A$228,0)),1),3))</f>
        <v>1.0999999999999999E-2</v>
      </c>
    </row>
    <row r="69" spans="1:16" ht="34.5" hidden="1" customHeight="1" x14ac:dyDescent="0.25">
      <c r="A69" s="15" t="s">
        <v>250</v>
      </c>
      <c r="B69" s="15" t="s">
        <v>251</v>
      </c>
      <c r="C69" s="16" t="s">
        <v>58</v>
      </c>
      <c r="D69" s="17" t="s">
        <v>29</v>
      </c>
      <c r="E69" s="16" t="s">
        <v>30</v>
      </c>
      <c r="F69" s="16" t="s">
        <v>38</v>
      </c>
      <c r="G69" s="18" t="s">
        <v>252</v>
      </c>
      <c r="H69" s="18"/>
      <c r="I69" s="18" t="s">
        <v>237</v>
      </c>
      <c r="J69" s="18" t="s">
        <v>50</v>
      </c>
      <c r="K69" s="19">
        <f>ROUND(INDEX('Stats base'!B$5:B$8,MATCH($C69,'Stats base'!$A$5:$A$8,0))*INDEX('Stats base'!B$12:B$14,MATCH($E69,'Stats base'!$A$12:$A$14,0))*INDEX('Stats base'!B$18:B$22,MATCH($J69,'Stats base'!$A$18:$A$22,0))*IFERROR(INDEX(Variación!C$3:C$228,MATCH($G69,Variación!$A$3:$A$228,0)),1),0)</f>
        <v>106</v>
      </c>
      <c r="L69" s="20">
        <f>ROUND(INDEX('Stats base'!C$5:C$8,MATCH($C69,'Stats base'!$A$5:$A$8,0))*INDEX('Stats base'!C$12:C$14,MATCH($E69,'Stats base'!$A$12:$A$14,0))*INDEX('Stats base'!C$18:C$22,MATCH($J69,'Stats base'!$A$18:$A$22,0))*IFERROR(INDEX(Variación!D$3:D$228,MATCH($G69,Variación!$A$3:$A$228,0)),1),1)</f>
        <v>10.1</v>
      </c>
      <c r="M69" s="20">
        <f>ROUND(INDEX('Stats base'!D$5:D$8,MATCH($C69,'Stats base'!$A$5:$A$8,0))*INDEX('Stats base'!D$12:D$14,MATCH($E69,'Stats base'!$A$12:$A$14,0))*INDEX('Stats base'!D$18:D$22,MATCH($J69,'Stats base'!$A$18:$A$22,0))*IFERROR(INDEX(Variación!E$3:E$228,MATCH($G69,Variación!$A$3:$A$228,0)),1),1)</f>
        <v>16.8</v>
      </c>
      <c r="N69" s="20">
        <f>ROUND(INDEX('Stats base'!E$5:E$8,MATCH($C69,'Stats base'!$A$5:$A$8,0))*INDEX('Stats base'!E$12:E$14,MATCH($E69,'Stats base'!$A$12:$A$14,0))*INDEX('Stats base'!E$18:E$22,MATCH($J69,'Stats base'!$A$18:$A$22,0))*IFERROR(INDEX(Variación!F$3:F$228,MATCH($G69,Variación!$A$3:$A$228,0)),1),1)</f>
        <v>4.2</v>
      </c>
      <c r="O69" s="19">
        <f>ROUND(INDEX('Stats base'!F$5:F$8,MATCH($C69,'Stats base'!$A$5:$A$8,0))*INDEX('Stats base'!F$12:F$14,MATCH($E69,'Stats base'!$A$12:$A$14,0))*INDEX('Stats base'!F$18:F$22,MATCH($J69,'Stats base'!$A$18:$A$22,0))*IFERROR(INDEX(Variación!G$3:G$228,MATCH($G69,Variación!$A$3:$A$228,0)),1),0)</f>
        <v>115</v>
      </c>
      <c r="P69" s="21">
        <f>MIN('Stats base'!$G$30,ROUND(INDEX('Stats base'!G$5:G$8,MATCH($C69,'Stats base'!$A$5:$A$8,0))*INDEX('Stats base'!G$12:G$14,MATCH($E69,'Stats base'!$A$12:$A$14,0))*INDEX('Stats base'!G$18:G$22,MATCH($J69,'Stats base'!$A$18:$A$22,0))*IFERROR(INDEX(Variación!H$3:H$228,MATCH($G69,Variación!$A$3:$A$228,0)),1),3))</f>
        <v>4.3999999999999997E-2</v>
      </c>
    </row>
    <row r="70" spans="1:16" ht="34.5" hidden="1" customHeight="1" x14ac:dyDescent="0.25">
      <c r="A70" s="15" t="s">
        <v>253</v>
      </c>
      <c r="B70" s="15" t="s">
        <v>254</v>
      </c>
      <c r="C70" s="16" t="s">
        <v>58</v>
      </c>
      <c r="D70" s="17" t="s">
        <v>29</v>
      </c>
      <c r="E70" s="16" t="s">
        <v>30</v>
      </c>
      <c r="F70" s="16" t="s">
        <v>38</v>
      </c>
      <c r="G70" s="18" t="s">
        <v>255</v>
      </c>
      <c r="H70" s="18"/>
      <c r="I70" s="18" t="s">
        <v>237</v>
      </c>
      <c r="J70" s="18" t="s">
        <v>50</v>
      </c>
      <c r="K70" s="19">
        <f>ROUND(INDEX('Stats base'!B$5:B$8,MATCH($C70,'Stats base'!$A$5:$A$8,0))*INDEX('Stats base'!B$12:B$14,MATCH($E70,'Stats base'!$A$12:$A$14,0))*INDEX('Stats base'!B$18:B$22,MATCH($J70,'Stats base'!$A$18:$A$22,0))*IFERROR(INDEX(Variación!C$3:C$228,MATCH($G70,Variación!$A$3:$A$228,0)),1),0)</f>
        <v>109</v>
      </c>
      <c r="L70" s="20">
        <f>ROUND(INDEX('Stats base'!C$5:C$8,MATCH($C70,'Stats base'!$A$5:$A$8,0))*INDEX('Stats base'!C$12:C$14,MATCH($E70,'Stats base'!$A$12:$A$14,0))*INDEX('Stats base'!C$18:C$22,MATCH($J70,'Stats base'!$A$18:$A$22,0))*IFERROR(INDEX(Variación!D$3:D$228,MATCH($G70,Variación!$A$3:$A$228,0)),1),1)</f>
        <v>10.5</v>
      </c>
      <c r="M70" s="20">
        <f>ROUND(INDEX('Stats base'!D$5:D$8,MATCH($C70,'Stats base'!$A$5:$A$8,0))*INDEX('Stats base'!D$12:D$14,MATCH($E70,'Stats base'!$A$12:$A$14,0))*INDEX('Stats base'!D$18:D$22,MATCH($J70,'Stats base'!$A$18:$A$22,0))*IFERROR(INDEX(Variación!E$3:E$228,MATCH($G70,Variación!$A$3:$A$228,0)),1),1)</f>
        <v>19.7</v>
      </c>
      <c r="N70" s="20">
        <f>ROUND(INDEX('Stats base'!E$5:E$8,MATCH($C70,'Stats base'!$A$5:$A$8,0))*INDEX('Stats base'!E$12:E$14,MATCH($E70,'Stats base'!$A$12:$A$14,0))*INDEX('Stats base'!E$18:E$22,MATCH($J70,'Stats base'!$A$18:$A$22,0))*IFERROR(INDEX(Variación!F$3:F$228,MATCH($G70,Variación!$A$3:$A$228,0)),1),1)</f>
        <v>4.8</v>
      </c>
      <c r="O70" s="19">
        <f>ROUND(INDEX('Stats base'!F$5:F$8,MATCH($C70,'Stats base'!$A$5:$A$8,0))*INDEX('Stats base'!F$12:F$14,MATCH($E70,'Stats base'!$A$12:$A$14,0))*INDEX('Stats base'!F$18:F$22,MATCH($J70,'Stats base'!$A$18:$A$22,0))*IFERROR(INDEX(Variación!G$3:G$228,MATCH($G70,Variación!$A$3:$A$228,0)),1),0)</f>
        <v>106</v>
      </c>
      <c r="P70" s="21">
        <f>MIN('Stats base'!$G$30,ROUND(INDEX('Stats base'!G$5:G$8,MATCH($C70,'Stats base'!$A$5:$A$8,0))*INDEX('Stats base'!G$12:G$14,MATCH($E70,'Stats base'!$A$12:$A$14,0))*INDEX('Stats base'!G$18:G$22,MATCH($J70,'Stats base'!$A$18:$A$22,0))*IFERROR(INDEX(Variación!H$3:H$228,MATCH($G70,Variación!$A$3:$A$228,0)),1),3))</f>
        <v>4.2000000000000003E-2</v>
      </c>
    </row>
    <row r="71" spans="1:16" ht="34.5" customHeight="1" x14ac:dyDescent="0.25">
      <c r="A71" s="15" t="s">
        <v>256</v>
      </c>
      <c r="B71" s="15" t="s">
        <v>257</v>
      </c>
      <c r="C71" s="16" t="s">
        <v>58</v>
      </c>
      <c r="D71" s="17" t="s">
        <v>29</v>
      </c>
      <c r="E71" s="16" t="s">
        <v>30</v>
      </c>
      <c r="F71" s="16" t="s">
        <v>38</v>
      </c>
      <c r="G71" s="18" t="s">
        <v>258</v>
      </c>
      <c r="H71" s="18"/>
      <c r="I71" s="18" t="s">
        <v>237</v>
      </c>
      <c r="J71" s="18" t="s">
        <v>85</v>
      </c>
      <c r="K71" s="19">
        <f>ROUND(INDEX('Stats base'!B$5:B$8,MATCH($C71,'Stats base'!$A$5:$A$8,0))*INDEX('Stats base'!B$12:B$14,MATCH($E71,'Stats base'!$A$12:$A$14,0))*INDEX('Stats base'!B$18:B$22,MATCH($J71,'Stats base'!$A$18:$A$22,0))*IFERROR(INDEX(Variación!C$3:C$228,MATCH($G71,Variación!$A$3:$A$228,0)),1),0)</f>
        <v>93</v>
      </c>
      <c r="L71" s="20">
        <f>ROUND(INDEX('Stats base'!C$5:C$8,MATCH($C71,'Stats base'!$A$5:$A$8,0))*INDEX('Stats base'!C$12:C$14,MATCH($E71,'Stats base'!$A$12:$A$14,0))*INDEX('Stats base'!C$18:C$22,MATCH($J71,'Stats base'!$A$18:$A$22,0))*IFERROR(INDEX(Variación!D$3:D$228,MATCH($G71,Variación!$A$3:$A$228,0)),1),1)</f>
        <v>9.6999999999999993</v>
      </c>
      <c r="M71" s="20">
        <f>ROUND(INDEX('Stats base'!D$5:D$8,MATCH($C71,'Stats base'!$A$5:$A$8,0))*INDEX('Stats base'!D$12:D$14,MATCH($E71,'Stats base'!$A$12:$A$14,0))*INDEX('Stats base'!D$18:D$22,MATCH($J71,'Stats base'!$A$18:$A$22,0))*IFERROR(INDEX(Variación!E$3:E$228,MATCH($G71,Variación!$A$3:$A$228,0)),1),1)</f>
        <v>16.8</v>
      </c>
      <c r="N71" s="20">
        <f>ROUND(INDEX('Stats base'!E$5:E$8,MATCH($C71,'Stats base'!$A$5:$A$8,0))*INDEX('Stats base'!E$12:E$14,MATCH($E71,'Stats base'!$A$12:$A$14,0))*INDEX('Stats base'!E$18:E$22,MATCH($J71,'Stats base'!$A$18:$A$22,0))*IFERROR(INDEX(Variación!F$3:F$228,MATCH($G71,Variación!$A$3:$A$228,0)),1),1)</f>
        <v>4.5</v>
      </c>
      <c r="O71" s="19">
        <f>ROUND(INDEX('Stats base'!F$5:F$8,MATCH($C71,'Stats base'!$A$5:$A$8,0))*INDEX('Stats base'!F$12:F$14,MATCH($E71,'Stats base'!$A$12:$A$14,0))*INDEX('Stats base'!F$18:F$22,MATCH($J71,'Stats base'!$A$18:$A$22,0))*IFERROR(INDEX(Variación!G$3:G$228,MATCH($G71,Variación!$A$3:$A$228,0)),1),0)</f>
        <v>92</v>
      </c>
      <c r="P71" s="21">
        <f>MIN('Stats base'!$G$30,ROUND(INDEX('Stats base'!G$5:G$8,MATCH($C71,'Stats base'!$A$5:$A$8,0))*INDEX('Stats base'!G$12:G$14,MATCH($E71,'Stats base'!$A$12:$A$14,0))*INDEX('Stats base'!G$18:G$22,MATCH($J71,'Stats base'!$A$18:$A$22,0))*IFERROR(INDEX(Variación!H$3:H$228,MATCH($G71,Variación!$A$3:$A$228,0)),1),3))</f>
        <v>0.03</v>
      </c>
    </row>
    <row r="72" spans="1:16" ht="34.5" hidden="1" customHeight="1" x14ac:dyDescent="0.25">
      <c r="A72" s="15" t="s">
        <v>259</v>
      </c>
      <c r="B72" s="15" t="s">
        <v>260</v>
      </c>
      <c r="C72" s="16" t="s">
        <v>58</v>
      </c>
      <c r="D72" s="17" t="s">
        <v>29</v>
      </c>
      <c r="E72" s="16" t="s">
        <v>30</v>
      </c>
      <c r="F72" s="16" t="s">
        <v>48</v>
      </c>
      <c r="G72" s="18" t="s">
        <v>261</v>
      </c>
      <c r="H72" s="18"/>
      <c r="I72" s="18" t="s">
        <v>33</v>
      </c>
      <c r="J72" s="18" t="s">
        <v>34</v>
      </c>
      <c r="K72" s="19">
        <f>ROUND(INDEX('Stats base'!B$5:B$8,MATCH($C72,'Stats base'!$A$5:$A$8,0))*INDEX('Stats base'!B$12:B$14,MATCH($E72,'Stats base'!$A$12:$A$14,0))*INDEX('Stats base'!B$18:B$22,MATCH($J72,'Stats base'!$A$18:$A$22,0))*IFERROR(INDEX(Variación!C$3:C$228,MATCH($G72,Variación!$A$3:$A$228,0)),1),0)</f>
        <v>133</v>
      </c>
      <c r="L72" s="20">
        <f>ROUND(INDEX('Stats base'!C$5:C$8,MATCH($C72,'Stats base'!$A$5:$A$8,0))*INDEX('Stats base'!C$12:C$14,MATCH($E72,'Stats base'!$A$12:$A$14,0))*INDEX('Stats base'!C$18:C$22,MATCH($J72,'Stats base'!$A$18:$A$22,0))*IFERROR(INDEX(Variación!D$3:D$228,MATCH($G72,Variación!$A$3:$A$228,0)),1),1)</f>
        <v>16.100000000000001</v>
      </c>
      <c r="M72" s="20">
        <f>ROUND(INDEX('Stats base'!D$5:D$8,MATCH($C72,'Stats base'!$A$5:$A$8,0))*INDEX('Stats base'!D$12:D$14,MATCH($E72,'Stats base'!$A$12:$A$14,0))*INDEX('Stats base'!D$18:D$22,MATCH($J72,'Stats base'!$A$18:$A$22,0))*IFERROR(INDEX(Variación!E$3:E$228,MATCH($G72,Variación!$A$3:$A$228,0)),1),1)</f>
        <v>28.6</v>
      </c>
      <c r="N72" s="20">
        <f>ROUND(INDEX('Stats base'!E$5:E$8,MATCH($C72,'Stats base'!$A$5:$A$8,0))*INDEX('Stats base'!E$12:E$14,MATCH($E72,'Stats base'!$A$12:$A$14,0))*INDEX('Stats base'!E$18:E$22,MATCH($J72,'Stats base'!$A$18:$A$22,0))*IFERROR(INDEX(Variación!F$3:F$228,MATCH($G72,Variación!$A$3:$A$228,0)),1),1)</f>
        <v>5.9</v>
      </c>
      <c r="O72" s="19">
        <f>ROUND(INDEX('Stats base'!F$5:F$8,MATCH($C72,'Stats base'!$A$5:$A$8,0))*INDEX('Stats base'!F$12:F$14,MATCH($E72,'Stats base'!$A$12:$A$14,0))*INDEX('Stats base'!F$18:F$22,MATCH($J72,'Stats base'!$A$18:$A$22,0))*IFERROR(INDEX(Variación!G$3:G$228,MATCH($G72,Variación!$A$3:$A$228,0)),1),0)</f>
        <v>126</v>
      </c>
      <c r="P72" s="21">
        <f>MIN('Stats base'!$G$30,ROUND(INDEX('Stats base'!G$5:G$8,MATCH($C72,'Stats base'!$A$5:$A$8,0))*INDEX('Stats base'!G$12:G$14,MATCH($E72,'Stats base'!$A$12:$A$14,0))*INDEX('Stats base'!G$18:G$22,MATCH($J72,'Stats base'!$A$18:$A$22,0))*IFERROR(INDEX(Variación!H$3:H$228,MATCH($G72,Variación!$A$3:$A$228,0)),1),3))</f>
        <v>8.5000000000000006E-2</v>
      </c>
    </row>
    <row r="73" spans="1:16" ht="34.5" hidden="1" customHeight="1" x14ac:dyDescent="0.25">
      <c r="A73" s="15" t="s">
        <v>262</v>
      </c>
      <c r="B73" s="15" t="s">
        <v>263</v>
      </c>
      <c r="C73" s="16" t="s">
        <v>37</v>
      </c>
      <c r="D73" s="17" t="s">
        <v>29</v>
      </c>
      <c r="E73" s="16" t="s">
        <v>30</v>
      </c>
      <c r="F73" s="16" t="s">
        <v>48</v>
      </c>
      <c r="G73" s="18" t="s">
        <v>264</v>
      </c>
      <c r="H73" s="18"/>
      <c r="I73" s="18" t="s">
        <v>33</v>
      </c>
      <c r="J73" s="18" t="s">
        <v>70</v>
      </c>
      <c r="K73" s="19">
        <f>ROUND(INDEX('Stats base'!B$5:B$8,MATCH($C73,'Stats base'!$A$5:$A$8,0))*INDEX('Stats base'!B$12:B$14,MATCH($E73,'Stats base'!$A$12:$A$14,0))*INDEX('Stats base'!B$18:B$22,MATCH($J73,'Stats base'!$A$18:$A$22,0))*IFERROR(INDEX(Variación!C$3:C$228,MATCH($G73,Variación!$A$3:$A$228,0)),1),0)</f>
        <v>145</v>
      </c>
      <c r="L73" s="20">
        <f>ROUND(INDEX('Stats base'!C$5:C$8,MATCH($C73,'Stats base'!$A$5:$A$8,0))*INDEX('Stats base'!C$12:C$14,MATCH($E73,'Stats base'!$A$12:$A$14,0))*INDEX('Stats base'!C$18:C$22,MATCH($J73,'Stats base'!$A$18:$A$22,0))*IFERROR(INDEX(Variación!D$3:D$228,MATCH($G73,Variación!$A$3:$A$228,0)),1),1)</f>
        <v>8.1999999999999993</v>
      </c>
      <c r="M73" s="20">
        <f>ROUND(INDEX('Stats base'!D$5:D$8,MATCH($C73,'Stats base'!$A$5:$A$8,0))*INDEX('Stats base'!D$12:D$14,MATCH($E73,'Stats base'!$A$12:$A$14,0))*INDEX('Stats base'!D$18:D$22,MATCH($J73,'Stats base'!$A$18:$A$22,0))*IFERROR(INDEX(Variación!E$3:E$228,MATCH($G73,Variación!$A$3:$A$228,0)),1),1)</f>
        <v>14.1</v>
      </c>
      <c r="N73" s="20">
        <f>ROUND(INDEX('Stats base'!E$5:E$8,MATCH($C73,'Stats base'!$A$5:$A$8,0))*INDEX('Stats base'!E$12:E$14,MATCH($E73,'Stats base'!$A$12:$A$14,0))*INDEX('Stats base'!E$18:E$22,MATCH($J73,'Stats base'!$A$18:$A$22,0))*IFERROR(INDEX(Variación!F$3:F$228,MATCH($G73,Variación!$A$3:$A$228,0)),1),1)</f>
        <v>10</v>
      </c>
      <c r="O73" s="19">
        <f>ROUND(INDEX('Stats base'!F$5:F$8,MATCH($C73,'Stats base'!$A$5:$A$8,0))*INDEX('Stats base'!F$12:F$14,MATCH($E73,'Stats base'!$A$12:$A$14,0))*INDEX('Stats base'!F$18:F$22,MATCH($J73,'Stats base'!$A$18:$A$22,0))*IFERROR(INDEX(Variación!G$3:G$228,MATCH($G73,Variación!$A$3:$A$228,0)),1),0)</f>
        <v>110</v>
      </c>
      <c r="P73" s="21">
        <f>MIN('Stats base'!$G$30,ROUND(INDEX('Stats base'!G$5:G$8,MATCH($C73,'Stats base'!$A$5:$A$8,0))*INDEX('Stats base'!G$12:G$14,MATCH($E73,'Stats base'!$A$12:$A$14,0))*INDEX('Stats base'!G$18:G$22,MATCH($J73,'Stats base'!$A$18:$A$22,0))*IFERROR(INDEX(Variación!H$3:H$228,MATCH($G73,Variación!$A$3:$A$228,0)),1),3))</f>
        <v>1.9E-2</v>
      </c>
    </row>
    <row r="74" spans="1:16" ht="34.5" hidden="1" customHeight="1" x14ac:dyDescent="0.25">
      <c r="A74" s="15" t="s">
        <v>265</v>
      </c>
      <c r="B74" s="15" t="s">
        <v>266</v>
      </c>
      <c r="C74" s="16" t="s">
        <v>37</v>
      </c>
      <c r="D74" s="17" t="s">
        <v>29</v>
      </c>
      <c r="E74" s="16" t="s">
        <v>53</v>
      </c>
      <c r="F74" s="16" t="s">
        <v>31</v>
      </c>
      <c r="G74" s="18" t="s">
        <v>267</v>
      </c>
      <c r="H74" s="18"/>
      <c r="I74" s="18" t="s">
        <v>33</v>
      </c>
      <c r="J74" s="18" t="s">
        <v>70</v>
      </c>
      <c r="K74" s="19">
        <f>ROUND(INDEX('Stats base'!B$5:B$8,MATCH($C74,'Stats base'!$A$5:$A$8,0))*INDEX('Stats base'!B$12:B$14,MATCH($E74,'Stats base'!$A$12:$A$14,0))*INDEX('Stats base'!B$18:B$22,MATCH($J74,'Stats base'!$A$18:$A$22,0))*IFERROR(INDEX(Variación!C$3:C$228,MATCH($G74,Variación!$A$3:$A$228,0)),1),0)</f>
        <v>135</v>
      </c>
      <c r="L74" s="20">
        <f>ROUND(INDEX('Stats base'!C$5:C$8,MATCH($C74,'Stats base'!$A$5:$A$8,0))*INDEX('Stats base'!C$12:C$14,MATCH($E74,'Stats base'!$A$12:$A$14,0))*INDEX('Stats base'!C$18:C$22,MATCH($J74,'Stats base'!$A$18:$A$22,0))*IFERROR(INDEX(Variación!D$3:D$228,MATCH($G74,Variación!$A$3:$A$228,0)),1),1)</f>
        <v>9.1</v>
      </c>
      <c r="M74" s="20">
        <f>ROUND(INDEX('Stats base'!D$5:D$8,MATCH($C74,'Stats base'!$A$5:$A$8,0))*INDEX('Stats base'!D$12:D$14,MATCH($E74,'Stats base'!$A$12:$A$14,0))*INDEX('Stats base'!D$18:D$22,MATCH($J74,'Stats base'!$A$18:$A$22,0))*IFERROR(INDEX(Variación!E$3:E$228,MATCH($G74,Variación!$A$3:$A$228,0)),1),1)</f>
        <v>15.7</v>
      </c>
      <c r="N74" s="20">
        <f>ROUND(INDEX('Stats base'!E$5:E$8,MATCH($C74,'Stats base'!$A$5:$A$8,0))*INDEX('Stats base'!E$12:E$14,MATCH($E74,'Stats base'!$A$12:$A$14,0))*INDEX('Stats base'!E$18:E$22,MATCH($J74,'Stats base'!$A$18:$A$22,0))*IFERROR(INDEX(Variación!F$3:F$228,MATCH($G74,Variación!$A$3:$A$228,0)),1),1)</f>
        <v>9</v>
      </c>
      <c r="O74" s="19">
        <f>ROUND(INDEX('Stats base'!F$5:F$8,MATCH($C74,'Stats base'!$A$5:$A$8,0))*INDEX('Stats base'!F$12:F$14,MATCH($E74,'Stats base'!$A$12:$A$14,0))*INDEX('Stats base'!F$18:F$22,MATCH($J74,'Stats base'!$A$18:$A$22,0))*IFERROR(INDEX(Variación!G$3:G$228,MATCH($G74,Variación!$A$3:$A$228,0)),1),0)</f>
        <v>98</v>
      </c>
      <c r="P74" s="21">
        <f>MIN('Stats base'!$G$30,ROUND(INDEX('Stats base'!G$5:G$8,MATCH($C74,'Stats base'!$A$5:$A$8,0))*INDEX('Stats base'!G$12:G$14,MATCH($E74,'Stats base'!$A$12:$A$14,0))*INDEX('Stats base'!G$18:G$22,MATCH($J74,'Stats base'!$A$18:$A$22,0))*IFERROR(INDEX(Variación!H$3:H$228,MATCH($G74,Variación!$A$3:$A$228,0)),1),3))</f>
        <v>1.9E-2</v>
      </c>
    </row>
    <row r="75" spans="1:16" ht="34.5" customHeight="1" x14ac:dyDescent="0.25">
      <c r="A75" s="15" t="s">
        <v>268</v>
      </c>
      <c r="B75" s="15" t="s">
        <v>269</v>
      </c>
      <c r="C75" s="16" t="s">
        <v>58</v>
      </c>
      <c r="D75" s="17" t="s">
        <v>29</v>
      </c>
      <c r="E75" s="16" t="s">
        <v>53</v>
      </c>
      <c r="F75" s="16" t="s">
        <v>48</v>
      </c>
      <c r="G75" s="18" t="s">
        <v>270</v>
      </c>
      <c r="H75" s="18"/>
      <c r="I75" s="18" t="s">
        <v>184</v>
      </c>
      <c r="J75" s="18" t="s">
        <v>85</v>
      </c>
      <c r="K75" s="19">
        <f>ROUND(INDEX('Stats base'!B$5:B$8,MATCH($C75,'Stats base'!$A$5:$A$8,0))*INDEX('Stats base'!B$12:B$14,MATCH($E75,'Stats base'!$A$12:$A$14,0))*INDEX('Stats base'!B$18:B$22,MATCH($J75,'Stats base'!$A$18:$A$22,0))*IFERROR(INDEX(Variación!C$3:C$228,MATCH($G75,Variación!$A$3:$A$228,0)),1),0)</f>
        <v>82</v>
      </c>
      <c r="L75" s="20">
        <f>ROUND(INDEX('Stats base'!C$5:C$8,MATCH($C75,'Stats base'!$A$5:$A$8,0))*INDEX('Stats base'!C$12:C$14,MATCH($E75,'Stats base'!$A$12:$A$14,0))*INDEX('Stats base'!C$18:C$22,MATCH($J75,'Stats base'!$A$18:$A$22,0))*IFERROR(INDEX(Variación!D$3:D$228,MATCH($G75,Variación!$A$3:$A$228,0)),1),1)</f>
        <v>9.8000000000000007</v>
      </c>
      <c r="M75" s="20">
        <f>ROUND(INDEX('Stats base'!D$5:D$8,MATCH($C75,'Stats base'!$A$5:$A$8,0))*INDEX('Stats base'!D$12:D$14,MATCH($E75,'Stats base'!$A$12:$A$14,0))*INDEX('Stats base'!D$18:D$22,MATCH($J75,'Stats base'!$A$18:$A$22,0))*IFERROR(INDEX(Variación!E$3:E$228,MATCH($G75,Variación!$A$3:$A$228,0)),1),1)</f>
        <v>17</v>
      </c>
      <c r="N75" s="20">
        <f>ROUND(INDEX('Stats base'!E$5:E$8,MATCH($C75,'Stats base'!$A$5:$A$8,0))*INDEX('Stats base'!E$12:E$14,MATCH($E75,'Stats base'!$A$12:$A$14,0))*INDEX('Stats base'!E$18:E$22,MATCH($J75,'Stats base'!$A$18:$A$22,0))*IFERROR(INDEX(Variación!F$3:F$228,MATCH($G75,Variación!$A$3:$A$228,0)),1),1)</f>
        <v>3.8</v>
      </c>
      <c r="O75" s="19">
        <f>ROUND(INDEX('Stats base'!F$5:F$8,MATCH($C75,'Stats base'!$A$5:$A$8,0))*INDEX('Stats base'!F$12:F$14,MATCH($E75,'Stats base'!$A$12:$A$14,0))*INDEX('Stats base'!F$18:F$22,MATCH($J75,'Stats base'!$A$18:$A$22,0))*IFERROR(INDEX(Variación!G$3:G$228,MATCH($G75,Variación!$A$3:$A$228,0)),1),0)</f>
        <v>101</v>
      </c>
      <c r="P75" s="21">
        <f>MIN('Stats base'!$G$30,ROUND(INDEX('Stats base'!G$5:G$8,MATCH($C75,'Stats base'!$A$5:$A$8,0))*INDEX('Stats base'!G$12:G$14,MATCH($E75,'Stats base'!$A$12:$A$14,0))*INDEX('Stats base'!G$18:G$22,MATCH($J75,'Stats base'!$A$18:$A$22,0))*IFERROR(INDEX(Variación!H$3:H$228,MATCH($G75,Variación!$A$3:$A$228,0)),1),3))</f>
        <v>3.4000000000000002E-2</v>
      </c>
    </row>
    <row r="76" spans="1:16" ht="34.5" hidden="1" customHeight="1" x14ac:dyDescent="0.25">
      <c r="A76" s="15" t="s">
        <v>271</v>
      </c>
      <c r="B76" s="15" t="s">
        <v>272</v>
      </c>
      <c r="C76" s="16" t="s">
        <v>58</v>
      </c>
      <c r="D76" s="17" t="s">
        <v>29</v>
      </c>
      <c r="E76" s="16" t="s">
        <v>30</v>
      </c>
      <c r="F76" s="16" t="s">
        <v>38</v>
      </c>
      <c r="G76" s="18" t="s">
        <v>273</v>
      </c>
      <c r="H76" s="18"/>
      <c r="I76" s="18" t="s">
        <v>138</v>
      </c>
      <c r="J76" s="18" t="s">
        <v>34</v>
      </c>
      <c r="K76" s="19">
        <f>ROUND(INDEX('Stats base'!B$5:B$8,MATCH($C76,'Stats base'!$A$5:$A$8,0))*INDEX('Stats base'!B$12:B$14,MATCH($E76,'Stats base'!$A$12:$A$14,0))*INDEX('Stats base'!B$18:B$22,MATCH($J76,'Stats base'!$A$18:$A$22,0))*IFERROR(INDEX(Variación!C$3:C$228,MATCH($G76,Variación!$A$3:$A$228,0)),1),0)</f>
        <v>133</v>
      </c>
      <c r="L76" s="20">
        <f>ROUND(INDEX('Stats base'!C$5:C$8,MATCH($C76,'Stats base'!$A$5:$A$8,0))*INDEX('Stats base'!C$12:C$14,MATCH($E76,'Stats base'!$A$12:$A$14,0))*INDEX('Stats base'!C$18:C$22,MATCH($J76,'Stats base'!$A$18:$A$22,0))*IFERROR(INDEX(Variación!D$3:D$228,MATCH($G76,Variación!$A$3:$A$228,0)),1),1)</f>
        <v>15.3</v>
      </c>
      <c r="M76" s="20">
        <f>ROUND(INDEX('Stats base'!D$5:D$8,MATCH($C76,'Stats base'!$A$5:$A$8,0))*INDEX('Stats base'!D$12:D$14,MATCH($E76,'Stats base'!$A$12:$A$14,0))*INDEX('Stats base'!D$18:D$22,MATCH($J76,'Stats base'!$A$18:$A$22,0))*IFERROR(INDEX(Variación!E$3:E$228,MATCH($G76,Variación!$A$3:$A$228,0)),1),1)</f>
        <v>29.9</v>
      </c>
      <c r="N76" s="20">
        <f>ROUND(INDEX('Stats base'!E$5:E$8,MATCH($C76,'Stats base'!$A$5:$A$8,0))*INDEX('Stats base'!E$12:E$14,MATCH($E76,'Stats base'!$A$12:$A$14,0))*INDEX('Stats base'!E$18:E$22,MATCH($J76,'Stats base'!$A$18:$A$22,0))*IFERROR(INDEX(Variación!F$3:F$228,MATCH($G76,Variación!$A$3:$A$228,0)),1),1)</f>
        <v>6.1</v>
      </c>
      <c r="O76" s="19">
        <f>ROUND(INDEX('Stats base'!F$5:F$8,MATCH($C76,'Stats base'!$A$5:$A$8,0))*INDEX('Stats base'!F$12:F$14,MATCH($E76,'Stats base'!$A$12:$A$14,0))*INDEX('Stats base'!F$18:F$22,MATCH($J76,'Stats base'!$A$18:$A$22,0))*IFERROR(INDEX(Variación!G$3:G$228,MATCH($G76,Variación!$A$3:$A$228,0)),1),0)</f>
        <v>120</v>
      </c>
      <c r="P76" s="21">
        <f>MIN('Stats base'!$G$30,ROUND(INDEX('Stats base'!G$5:G$8,MATCH($C76,'Stats base'!$A$5:$A$8,0))*INDEX('Stats base'!G$12:G$14,MATCH($E76,'Stats base'!$A$12:$A$14,0))*INDEX('Stats base'!G$18:G$22,MATCH($J76,'Stats base'!$A$18:$A$22,0))*IFERROR(INDEX(Variación!H$3:H$228,MATCH($G76,Variación!$A$3:$A$228,0)),1),3))</f>
        <v>8.8999999999999996E-2</v>
      </c>
    </row>
    <row r="77" spans="1:16" ht="34.5" hidden="1" customHeight="1" x14ac:dyDescent="0.25">
      <c r="A77" s="15" t="s">
        <v>274</v>
      </c>
      <c r="B77" s="15" t="s">
        <v>275</v>
      </c>
      <c r="C77" s="16" t="s">
        <v>68</v>
      </c>
      <c r="D77" s="17" t="s">
        <v>29</v>
      </c>
      <c r="E77" s="16" t="s">
        <v>30</v>
      </c>
      <c r="F77" s="16" t="s">
        <v>75</v>
      </c>
      <c r="G77" s="18" t="s">
        <v>276</v>
      </c>
      <c r="H77" s="18"/>
      <c r="I77" s="18" t="s">
        <v>33</v>
      </c>
      <c r="J77" s="18" t="s">
        <v>45</v>
      </c>
      <c r="K77" s="19">
        <f>ROUND(INDEX('Stats base'!B$5:B$8,MATCH($C77,'Stats base'!$A$5:$A$8,0))*INDEX('Stats base'!B$12:B$14,MATCH($E77,'Stats base'!$A$12:$A$14,0))*INDEX('Stats base'!B$18:B$22,MATCH($J77,'Stats base'!$A$18:$A$22,0))*IFERROR(INDEX(Variación!C$3:C$228,MATCH($G77,Variación!$A$3:$A$228,0)),1),0)</f>
        <v>107</v>
      </c>
      <c r="L77" s="20">
        <f>ROUND(INDEX('Stats base'!C$5:C$8,MATCH($C77,'Stats base'!$A$5:$A$8,0))*INDEX('Stats base'!C$12:C$14,MATCH($E77,'Stats base'!$A$12:$A$14,0))*INDEX('Stats base'!C$18:C$22,MATCH($J77,'Stats base'!$A$18:$A$22,0))*IFERROR(INDEX(Variación!D$3:D$228,MATCH($G77,Variación!$A$3:$A$228,0)),1),1)</f>
        <v>18.8</v>
      </c>
      <c r="M77" s="20">
        <f>ROUND(INDEX('Stats base'!D$5:D$8,MATCH($C77,'Stats base'!$A$5:$A$8,0))*INDEX('Stats base'!D$12:D$14,MATCH($E77,'Stats base'!$A$12:$A$14,0))*INDEX('Stats base'!D$18:D$22,MATCH($J77,'Stats base'!$A$18:$A$22,0))*IFERROR(INDEX(Variación!E$3:E$228,MATCH($G77,Variación!$A$3:$A$228,0)),1),1)</f>
        <v>31.9</v>
      </c>
      <c r="N77" s="20">
        <f>ROUND(INDEX('Stats base'!E$5:E$8,MATCH($C77,'Stats base'!$A$5:$A$8,0))*INDEX('Stats base'!E$12:E$14,MATCH($E77,'Stats base'!$A$12:$A$14,0))*INDEX('Stats base'!E$18:E$22,MATCH($J77,'Stats base'!$A$18:$A$22,0))*IFERROR(INDEX(Variación!F$3:F$228,MATCH($G77,Variación!$A$3:$A$228,0)),1),1)</f>
        <v>4</v>
      </c>
      <c r="O77" s="19">
        <f>ROUND(INDEX('Stats base'!F$5:F$8,MATCH($C77,'Stats base'!$A$5:$A$8,0))*INDEX('Stats base'!F$12:F$14,MATCH($E77,'Stats base'!$A$12:$A$14,0))*INDEX('Stats base'!F$18:F$22,MATCH($J77,'Stats base'!$A$18:$A$22,0))*IFERROR(INDEX(Variación!G$3:G$228,MATCH($G77,Variación!$A$3:$A$228,0)),1),0)</f>
        <v>111</v>
      </c>
      <c r="P77" s="21">
        <f>MIN('Stats base'!$G$30,ROUND(INDEX('Stats base'!G$5:G$8,MATCH($C77,'Stats base'!$A$5:$A$8,0))*INDEX('Stats base'!G$12:G$14,MATCH($E77,'Stats base'!$A$12:$A$14,0))*INDEX('Stats base'!G$18:G$22,MATCH($J77,'Stats base'!$A$18:$A$22,0))*IFERROR(INDEX(Variación!H$3:H$228,MATCH($G77,Variación!$A$3:$A$228,0)),1),3))</f>
        <v>3.5999999999999997E-2</v>
      </c>
    </row>
    <row r="78" spans="1:16" ht="34.5" hidden="1" customHeight="1" x14ac:dyDescent="0.25">
      <c r="A78" s="15" t="s">
        <v>277</v>
      </c>
      <c r="B78" s="15" t="s">
        <v>278</v>
      </c>
      <c r="C78" s="16" t="s">
        <v>68</v>
      </c>
      <c r="D78" s="17" t="s">
        <v>29</v>
      </c>
      <c r="E78" s="16" t="s">
        <v>42</v>
      </c>
      <c r="F78" s="16" t="s">
        <v>43</v>
      </c>
      <c r="G78" s="18" t="s">
        <v>279</v>
      </c>
      <c r="H78" s="18"/>
      <c r="I78" s="18" t="s">
        <v>237</v>
      </c>
      <c r="J78" s="18" t="s">
        <v>70</v>
      </c>
      <c r="K78" s="19">
        <f>ROUND(INDEX('Stats base'!B$5:B$8,MATCH($C78,'Stats base'!$A$5:$A$8,0))*INDEX('Stats base'!B$12:B$14,MATCH($E78,'Stats base'!$A$12:$A$14,0))*INDEX('Stats base'!B$18:B$22,MATCH($J78,'Stats base'!$A$18:$A$22,0))*IFERROR(INDEX(Variación!C$3:C$228,MATCH($G78,Variación!$A$3:$A$228,0)),1),0)</f>
        <v>106</v>
      </c>
      <c r="L78" s="20">
        <f>ROUND(INDEX('Stats base'!C$5:C$8,MATCH($C78,'Stats base'!$A$5:$A$8,0))*INDEX('Stats base'!C$12:C$14,MATCH($E78,'Stats base'!$A$12:$A$14,0))*INDEX('Stats base'!C$18:C$22,MATCH($J78,'Stats base'!$A$18:$A$22,0))*IFERROR(INDEX(Variación!D$3:D$228,MATCH($G78,Variación!$A$3:$A$228,0)),1),1)</f>
        <v>15</v>
      </c>
      <c r="M78" s="20">
        <f>ROUND(INDEX('Stats base'!D$5:D$8,MATCH($C78,'Stats base'!$A$5:$A$8,0))*INDEX('Stats base'!D$12:D$14,MATCH($E78,'Stats base'!$A$12:$A$14,0))*INDEX('Stats base'!D$18:D$22,MATCH($J78,'Stats base'!$A$18:$A$22,0))*IFERROR(INDEX(Variación!E$3:E$228,MATCH($G78,Variación!$A$3:$A$228,0)),1),1)</f>
        <v>25.2</v>
      </c>
      <c r="N78" s="20">
        <f>ROUND(INDEX('Stats base'!E$5:E$8,MATCH($C78,'Stats base'!$A$5:$A$8,0))*INDEX('Stats base'!E$12:E$14,MATCH($E78,'Stats base'!$A$12:$A$14,0))*INDEX('Stats base'!E$18:E$22,MATCH($J78,'Stats base'!$A$18:$A$22,0))*IFERROR(INDEX(Variación!F$3:F$228,MATCH($G78,Variación!$A$3:$A$228,0)),1),1)</f>
        <v>3.9</v>
      </c>
      <c r="O78" s="19">
        <f>ROUND(INDEX('Stats base'!F$5:F$8,MATCH($C78,'Stats base'!$A$5:$A$8,0))*INDEX('Stats base'!F$12:F$14,MATCH($E78,'Stats base'!$A$12:$A$14,0))*INDEX('Stats base'!F$18:F$22,MATCH($J78,'Stats base'!$A$18:$A$22,0))*IFERROR(INDEX(Variación!G$3:G$228,MATCH($G78,Variación!$A$3:$A$228,0)),1),0)</f>
        <v>96</v>
      </c>
      <c r="P78" s="21">
        <f>MIN('Stats base'!$G$30,ROUND(INDEX('Stats base'!G$5:G$8,MATCH($C78,'Stats base'!$A$5:$A$8,0))*INDEX('Stats base'!G$12:G$14,MATCH($E78,'Stats base'!$A$12:$A$14,0))*INDEX('Stats base'!G$18:G$22,MATCH($J78,'Stats base'!$A$18:$A$22,0))*IFERROR(INDEX(Variación!H$3:H$228,MATCH($G78,Variación!$A$3:$A$228,0)),1),3))</f>
        <v>2.8000000000000001E-2</v>
      </c>
    </row>
    <row r="79" spans="1:16" ht="34.5" hidden="1" customHeight="1" x14ac:dyDescent="0.25">
      <c r="A79" s="15" t="s">
        <v>280</v>
      </c>
      <c r="B79" s="15" t="s">
        <v>281</v>
      </c>
      <c r="C79" s="16" t="s">
        <v>68</v>
      </c>
      <c r="D79" s="17" t="s">
        <v>29</v>
      </c>
      <c r="E79" s="16" t="s">
        <v>30</v>
      </c>
      <c r="F79" s="16" t="s">
        <v>75</v>
      </c>
      <c r="G79" s="18" t="s">
        <v>282</v>
      </c>
      <c r="H79" s="18"/>
      <c r="I79" s="18" t="s">
        <v>237</v>
      </c>
      <c r="J79" s="18" t="s">
        <v>50</v>
      </c>
      <c r="K79" s="19">
        <f>ROUND(INDEX('Stats base'!B$5:B$8,MATCH($C79,'Stats base'!$A$5:$A$8,0))*INDEX('Stats base'!B$12:B$14,MATCH($E79,'Stats base'!$A$12:$A$14,0))*INDEX('Stats base'!B$18:B$22,MATCH($J79,'Stats base'!$A$18:$A$22,0))*IFERROR(INDEX(Variación!C$3:C$228,MATCH($G79,Variación!$A$3:$A$228,0)),1),0)</f>
        <v>91</v>
      </c>
      <c r="L79" s="20">
        <f>ROUND(INDEX('Stats base'!C$5:C$8,MATCH($C79,'Stats base'!$A$5:$A$8,0))*INDEX('Stats base'!C$12:C$14,MATCH($E79,'Stats base'!$A$12:$A$14,0))*INDEX('Stats base'!C$18:C$22,MATCH($J79,'Stats base'!$A$18:$A$22,0))*IFERROR(INDEX(Variación!D$3:D$228,MATCH($G79,Variación!$A$3:$A$228,0)),1),1)</f>
        <v>14.4</v>
      </c>
      <c r="M79" s="20">
        <f>ROUND(INDEX('Stats base'!D$5:D$8,MATCH($C79,'Stats base'!$A$5:$A$8,0))*INDEX('Stats base'!D$12:D$14,MATCH($E79,'Stats base'!$A$12:$A$14,0))*INDEX('Stats base'!D$18:D$22,MATCH($J79,'Stats base'!$A$18:$A$22,0))*IFERROR(INDEX(Variación!E$3:E$228,MATCH($G79,Variación!$A$3:$A$228,0)),1),1)</f>
        <v>24.4</v>
      </c>
      <c r="N79" s="20">
        <f>ROUND(INDEX('Stats base'!E$5:E$8,MATCH($C79,'Stats base'!$A$5:$A$8,0))*INDEX('Stats base'!E$12:E$14,MATCH($E79,'Stats base'!$A$12:$A$14,0))*INDEX('Stats base'!E$18:E$22,MATCH($J79,'Stats base'!$A$18:$A$22,0))*IFERROR(INDEX(Variación!F$3:F$228,MATCH($G79,Variación!$A$3:$A$228,0)),1),1)</f>
        <v>3.2</v>
      </c>
      <c r="O79" s="19">
        <f>ROUND(INDEX('Stats base'!F$5:F$8,MATCH($C79,'Stats base'!$A$5:$A$8,0))*INDEX('Stats base'!F$12:F$14,MATCH($E79,'Stats base'!$A$12:$A$14,0))*INDEX('Stats base'!F$18:F$22,MATCH($J79,'Stats base'!$A$18:$A$22,0))*IFERROR(INDEX(Variación!G$3:G$228,MATCH($G79,Variación!$A$3:$A$228,0)),1),0)</f>
        <v>107</v>
      </c>
      <c r="P79" s="21">
        <f>MIN('Stats base'!$G$30,ROUND(INDEX('Stats base'!G$5:G$8,MATCH($C79,'Stats base'!$A$5:$A$8,0))*INDEX('Stats base'!G$12:G$14,MATCH($E79,'Stats base'!$A$12:$A$14,0))*INDEX('Stats base'!G$18:G$22,MATCH($J79,'Stats base'!$A$18:$A$22,0))*IFERROR(INDEX(Variación!H$3:H$228,MATCH($G79,Variación!$A$3:$A$228,0)),1),3))</f>
        <v>2.4E-2</v>
      </c>
    </row>
    <row r="80" spans="1:16" ht="34.5" hidden="1" customHeight="1" x14ac:dyDescent="0.25">
      <c r="A80" s="15" t="s">
        <v>283</v>
      </c>
      <c r="B80" s="15" t="s">
        <v>284</v>
      </c>
      <c r="C80" s="16" t="s">
        <v>68</v>
      </c>
      <c r="D80" s="17" t="s">
        <v>29</v>
      </c>
      <c r="E80" s="16" t="s">
        <v>30</v>
      </c>
      <c r="F80" s="16" t="s">
        <v>75</v>
      </c>
      <c r="G80" s="18" t="s">
        <v>285</v>
      </c>
      <c r="H80" s="18"/>
      <c r="I80" s="18" t="s">
        <v>237</v>
      </c>
      <c r="J80" s="18" t="s">
        <v>50</v>
      </c>
      <c r="K80" s="19">
        <f>ROUND(INDEX('Stats base'!B$5:B$8,MATCH($C80,'Stats base'!$A$5:$A$8,0))*INDEX('Stats base'!B$12:B$14,MATCH($E80,'Stats base'!$A$12:$A$14,0))*INDEX('Stats base'!B$18:B$22,MATCH($J80,'Stats base'!$A$18:$A$22,0))*IFERROR(INDEX(Variación!C$3:C$228,MATCH($G80,Variación!$A$3:$A$228,0)),1),0)</f>
        <v>89</v>
      </c>
      <c r="L80" s="20">
        <f>ROUND(INDEX('Stats base'!C$5:C$8,MATCH($C80,'Stats base'!$A$5:$A$8,0))*INDEX('Stats base'!C$12:C$14,MATCH($E80,'Stats base'!$A$12:$A$14,0))*INDEX('Stats base'!C$18:C$22,MATCH($J80,'Stats base'!$A$18:$A$22,0))*IFERROR(INDEX(Variación!D$3:D$228,MATCH($G80,Variación!$A$3:$A$228,0)),1),1)</f>
        <v>12.6</v>
      </c>
      <c r="M80" s="20">
        <f>ROUND(INDEX('Stats base'!D$5:D$8,MATCH($C80,'Stats base'!$A$5:$A$8,0))*INDEX('Stats base'!D$12:D$14,MATCH($E80,'Stats base'!$A$12:$A$14,0))*INDEX('Stats base'!D$18:D$22,MATCH($J80,'Stats base'!$A$18:$A$22,0))*IFERROR(INDEX(Variación!E$3:E$228,MATCH($G80,Variación!$A$3:$A$228,0)),1),1)</f>
        <v>19.7</v>
      </c>
      <c r="N80" s="20">
        <f>ROUND(INDEX('Stats base'!E$5:E$8,MATCH($C80,'Stats base'!$A$5:$A$8,0))*INDEX('Stats base'!E$12:E$14,MATCH($E80,'Stats base'!$A$12:$A$14,0))*INDEX('Stats base'!E$18:E$22,MATCH($J80,'Stats base'!$A$18:$A$22,0))*IFERROR(INDEX(Variación!F$3:F$228,MATCH($G80,Variación!$A$3:$A$228,0)),1),1)</f>
        <v>3.3</v>
      </c>
      <c r="O80" s="19">
        <f>ROUND(INDEX('Stats base'!F$5:F$8,MATCH($C80,'Stats base'!$A$5:$A$8,0))*INDEX('Stats base'!F$12:F$14,MATCH($E80,'Stats base'!$A$12:$A$14,0))*INDEX('Stats base'!F$18:F$22,MATCH($J80,'Stats base'!$A$18:$A$22,0))*IFERROR(INDEX(Variación!G$3:G$228,MATCH($G80,Variación!$A$3:$A$228,0)),1),0)</f>
        <v>95</v>
      </c>
      <c r="P80" s="21">
        <f>MIN('Stats base'!$G$30,ROUND(INDEX('Stats base'!G$5:G$8,MATCH($C80,'Stats base'!$A$5:$A$8,0))*INDEX('Stats base'!G$12:G$14,MATCH($E80,'Stats base'!$A$12:$A$14,0))*INDEX('Stats base'!G$18:G$22,MATCH($J80,'Stats base'!$A$18:$A$22,0))*IFERROR(INDEX(Variación!H$3:H$228,MATCH($G80,Variación!$A$3:$A$228,0)),1),3))</f>
        <v>2.1999999999999999E-2</v>
      </c>
    </row>
    <row r="81" spans="1:16" ht="34.5" customHeight="1" x14ac:dyDescent="0.25">
      <c r="A81" s="15" t="s">
        <v>286</v>
      </c>
      <c r="B81" s="15" t="s">
        <v>287</v>
      </c>
      <c r="C81" s="16" t="s">
        <v>58</v>
      </c>
      <c r="D81" s="17" t="s">
        <v>29</v>
      </c>
      <c r="E81" s="16" t="s">
        <v>53</v>
      </c>
      <c r="F81" s="16" t="s">
        <v>48</v>
      </c>
      <c r="G81" s="18" t="s">
        <v>288</v>
      </c>
      <c r="H81" s="18"/>
      <c r="I81" s="18" t="s">
        <v>237</v>
      </c>
      <c r="J81" s="18" t="s">
        <v>85</v>
      </c>
      <c r="K81" s="19">
        <f>ROUND(INDEX('Stats base'!B$5:B$8,MATCH($C81,'Stats base'!$A$5:$A$8,0))*INDEX('Stats base'!B$12:B$14,MATCH($E81,'Stats base'!$A$12:$A$14,0))*INDEX('Stats base'!B$18:B$22,MATCH($J81,'Stats base'!$A$18:$A$22,0))*IFERROR(INDEX(Variación!C$3:C$228,MATCH($G81,Variación!$A$3:$A$228,0)),1),0)</f>
        <v>77</v>
      </c>
      <c r="L81" s="20">
        <f>ROUND(INDEX('Stats base'!C$5:C$8,MATCH($C81,'Stats base'!$A$5:$A$8,0))*INDEX('Stats base'!C$12:C$14,MATCH($E81,'Stats base'!$A$12:$A$14,0))*INDEX('Stats base'!C$18:C$22,MATCH($J81,'Stats base'!$A$18:$A$22,0))*IFERROR(INDEX(Variación!D$3:D$228,MATCH($G81,Variación!$A$3:$A$228,0)),1),1)</f>
        <v>8.1999999999999993</v>
      </c>
      <c r="M81" s="20">
        <f>ROUND(INDEX('Stats base'!D$5:D$8,MATCH($C81,'Stats base'!$A$5:$A$8,0))*INDEX('Stats base'!D$12:D$14,MATCH($E81,'Stats base'!$A$12:$A$14,0))*INDEX('Stats base'!D$18:D$22,MATCH($J81,'Stats base'!$A$18:$A$22,0))*IFERROR(INDEX(Variación!E$3:E$228,MATCH($G81,Variación!$A$3:$A$228,0)),1),1)</f>
        <v>14.9</v>
      </c>
      <c r="N81" s="20">
        <f>ROUND(INDEX('Stats base'!E$5:E$8,MATCH($C81,'Stats base'!$A$5:$A$8,0))*INDEX('Stats base'!E$12:E$14,MATCH($E81,'Stats base'!$A$12:$A$14,0))*INDEX('Stats base'!E$18:E$22,MATCH($J81,'Stats base'!$A$18:$A$22,0))*IFERROR(INDEX(Variación!F$3:F$228,MATCH($G81,Variación!$A$3:$A$228,0)),1),1)</f>
        <v>3.6</v>
      </c>
      <c r="O81" s="19">
        <f>ROUND(INDEX('Stats base'!F$5:F$8,MATCH($C81,'Stats base'!$A$5:$A$8,0))*INDEX('Stats base'!F$12:F$14,MATCH($E81,'Stats base'!$A$12:$A$14,0))*INDEX('Stats base'!F$18:F$22,MATCH($J81,'Stats base'!$A$18:$A$22,0))*IFERROR(INDEX(Variación!G$3:G$228,MATCH($G81,Variación!$A$3:$A$228,0)),1),0)</f>
        <v>124</v>
      </c>
      <c r="P81" s="21">
        <f>MIN('Stats base'!$G$30,ROUND(INDEX('Stats base'!G$5:G$8,MATCH($C81,'Stats base'!$A$5:$A$8,0))*INDEX('Stats base'!G$12:G$14,MATCH($E81,'Stats base'!$A$12:$A$14,0))*INDEX('Stats base'!G$18:G$22,MATCH($J81,'Stats base'!$A$18:$A$22,0))*IFERROR(INDEX(Variación!H$3:H$228,MATCH($G81,Variación!$A$3:$A$228,0)),1),3))</f>
        <v>3.9E-2</v>
      </c>
    </row>
    <row r="82" spans="1:16" ht="34.5" customHeight="1" x14ac:dyDescent="0.25">
      <c r="A82" s="15" t="s">
        <v>289</v>
      </c>
      <c r="B82" s="15" t="s">
        <v>290</v>
      </c>
      <c r="C82" s="16" t="s">
        <v>68</v>
      </c>
      <c r="D82" s="17" t="s">
        <v>29</v>
      </c>
      <c r="E82" s="16" t="s">
        <v>30</v>
      </c>
      <c r="F82" s="16" t="s">
        <v>54</v>
      </c>
      <c r="G82" s="18" t="s">
        <v>291</v>
      </c>
      <c r="H82" s="18"/>
      <c r="I82" s="18" t="s">
        <v>237</v>
      </c>
      <c r="J82" s="18" t="s">
        <v>85</v>
      </c>
      <c r="K82" s="19">
        <f>ROUND(INDEX('Stats base'!B$5:B$8,MATCH($C82,'Stats base'!$A$5:$A$8,0))*INDEX('Stats base'!B$12:B$14,MATCH($E82,'Stats base'!$A$12:$A$14,0))*INDEX('Stats base'!B$18:B$22,MATCH($J82,'Stats base'!$A$18:$A$22,0))*IFERROR(INDEX(Variación!C$3:C$228,MATCH($G82,Variación!$A$3:$A$228,0)),1),0)</f>
        <v>84</v>
      </c>
      <c r="L82" s="20">
        <f>ROUND(INDEX('Stats base'!C$5:C$8,MATCH($C82,'Stats base'!$A$5:$A$8,0))*INDEX('Stats base'!C$12:C$14,MATCH($E82,'Stats base'!$A$12:$A$14,0))*INDEX('Stats base'!C$18:C$22,MATCH($J82,'Stats base'!$A$18:$A$22,0))*IFERROR(INDEX(Variación!D$3:D$228,MATCH($G82,Variación!$A$3:$A$228,0)),1),1)</f>
        <v>11.9</v>
      </c>
      <c r="M82" s="20">
        <f>ROUND(INDEX('Stats base'!D$5:D$8,MATCH($C82,'Stats base'!$A$5:$A$8,0))*INDEX('Stats base'!D$12:D$14,MATCH($E82,'Stats base'!$A$12:$A$14,0))*INDEX('Stats base'!D$18:D$22,MATCH($J82,'Stats base'!$A$18:$A$22,0))*IFERROR(INDEX(Variación!E$3:E$228,MATCH($G82,Variación!$A$3:$A$228,0)),1),1)</f>
        <v>20.2</v>
      </c>
      <c r="N82" s="20">
        <f>ROUND(INDEX('Stats base'!E$5:E$8,MATCH($C82,'Stats base'!$A$5:$A$8,0))*INDEX('Stats base'!E$12:E$14,MATCH($E82,'Stats base'!$A$12:$A$14,0))*INDEX('Stats base'!E$18:E$22,MATCH($J82,'Stats base'!$A$18:$A$22,0))*IFERROR(INDEX(Variación!F$3:F$228,MATCH($G82,Variación!$A$3:$A$228,0)),1),1)</f>
        <v>3</v>
      </c>
      <c r="O82" s="19">
        <f>ROUND(INDEX('Stats base'!F$5:F$8,MATCH($C82,'Stats base'!$A$5:$A$8,0))*INDEX('Stats base'!F$12:F$14,MATCH($E82,'Stats base'!$A$12:$A$14,0))*INDEX('Stats base'!F$18:F$22,MATCH($J82,'Stats base'!$A$18:$A$22,0))*IFERROR(INDEX(Variación!G$3:G$228,MATCH($G82,Variación!$A$3:$A$228,0)),1),0)</f>
        <v>107</v>
      </c>
      <c r="P82" s="21">
        <f>MIN('Stats base'!$G$30,ROUND(INDEX('Stats base'!G$5:G$8,MATCH($C82,'Stats base'!$A$5:$A$8,0))*INDEX('Stats base'!G$12:G$14,MATCH($E82,'Stats base'!$A$12:$A$14,0))*INDEX('Stats base'!G$18:G$22,MATCH($J82,'Stats base'!$A$18:$A$22,0))*IFERROR(INDEX(Variación!H$3:H$228,MATCH($G82,Variación!$A$3:$A$228,0)),1),3))</f>
        <v>0.02</v>
      </c>
    </row>
    <row r="83" spans="1:16" ht="34.5" customHeight="1" x14ac:dyDescent="0.25">
      <c r="A83" s="15" t="s">
        <v>292</v>
      </c>
      <c r="B83" s="15" t="s">
        <v>293</v>
      </c>
      <c r="C83" s="16" t="s">
        <v>37</v>
      </c>
      <c r="D83" s="17" t="s">
        <v>29</v>
      </c>
      <c r="E83" s="16" t="s">
        <v>42</v>
      </c>
      <c r="F83" s="16" t="s">
        <v>48</v>
      </c>
      <c r="G83" s="18" t="s">
        <v>294</v>
      </c>
      <c r="H83" s="18"/>
      <c r="I83" s="18" t="s">
        <v>237</v>
      </c>
      <c r="J83" s="18" t="s">
        <v>85</v>
      </c>
      <c r="K83" s="19">
        <f>ROUND(INDEX('Stats base'!B$5:B$8,MATCH($C83,'Stats base'!$A$5:$A$8,0))*INDEX('Stats base'!B$12:B$14,MATCH($E83,'Stats base'!$A$12:$A$14,0))*INDEX('Stats base'!B$18:B$22,MATCH($J83,'Stats base'!$A$18:$A$22,0))*IFERROR(INDEX(Variación!C$3:C$228,MATCH($G83,Variación!$A$3:$A$228,0)),1),0)</f>
        <v>133</v>
      </c>
      <c r="L83" s="20">
        <f>ROUND(INDEX('Stats base'!C$5:C$8,MATCH($C83,'Stats base'!$A$5:$A$8,0))*INDEX('Stats base'!C$12:C$14,MATCH($E83,'Stats base'!$A$12:$A$14,0))*INDEX('Stats base'!C$18:C$22,MATCH($J83,'Stats base'!$A$18:$A$22,0))*IFERROR(INDEX(Variación!D$3:D$228,MATCH($G83,Variación!$A$3:$A$228,0)),1),1)</f>
        <v>7.1</v>
      </c>
      <c r="M83" s="20">
        <f>ROUND(INDEX('Stats base'!D$5:D$8,MATCH($C83,'Stats base'!$A$5:$A$8,0))*INDEX('Stats base'!D$12:D$14,MATCH($E83,'Stats base'!$A$12:$A$14,0))*INDEX('Stats base'!D$18:D$22,MATCH($J83,'Stats base'!$A$18:$A$22,0))*IFERROR(INDEX(Variación!E$3:E$228,MATCH($G83,Variación!$A$3:$A$228,0)),1),1)</f>
        <v>12.3</v>
      </c>
      <c r="N83" s="20">
        <f>ROUND(INDEX('Stats base'!E$5:E$8,MATCH($C83,'Stats base'!$A$5:$A$8,0))*INDEX('Stats base'!E$12:E$14,MATCH($E83,'Stats base'!$A$12:$A$14,0))*INDEX('Stats base'!E$18:E$22,MATCH($J83,'Stats base'!$A$18:$A$22,0))*IFERROR(INDEX(Variación!F$3:F$228,MATCH($G83,Variación!$A$3:$A$228,0)),1),1)</f>
        <v>9.1</v>
      </c>
      <c r="O83" s="19">
        <f>ROUND(INDEX('Stats base'!F$5:F$8,MATCH($C83,'Stats base'!$A$5:$A$8,0))*INDEX('Stats base'!F$12:F$14,MATCH($E83,'Stats base'!$A$12:$A$14,0))*INDEX('Stats base'!F$18:F$22,MATCH($J83,'Stats base'!$A$18:$A$22,0))*IFERROR(INDEX(Variación!G$3:G$228,MATCH($G83,Variación!$A$3:$A$228,0)),1),0)</f>
        <v>82</v>
      </c>
      <c r="P83" s="21">
        <f>MIN('Stats base'!$G$30,ROUND(INDEX('Stats base'!G$5:G$8,MATCH($C83,'Stats base'!$A$5:$A$8,0))*INDEX('Stats base'!G$12:G$14,MATCH($E83,'Stats base'!$A$12:$A$14,0))*INDEX('Stats base'!G$18:G$22,MATCH($J83,'Stats base'!$A$18:$A$22,0))*IFERROR(INDEX(Variación!H$3:H$228,MATCH($G83,Variación!$A$3:$A$228,0)),1),3))</f>
        <v>0.01</v>
      </c>
    </row>
    <row r="84" spans="1:16" ht="34.5" customHeight="1" x14ac:dyDescent="0.25">
      <c r="A84" s="15" t="s">
        <v>295</v>
      </c>
      <c r="B84" s="15" t="s">
        <v>296</v>
      </c>
      <c r="C84" s="16" t="s">
        <v>58</v>
      </c>
      <c r="D84" s="17" t="s">
        <v>29</v>
      </c>
      <c r="E84" s="16" t="s">
        <v>30</v>
      </c>
      <c r="F84" s="16" t="s">
        <v>43</v>
      </c>
      <c r="G84" s="18" t="s">
        <v>297</v>
      </c>
      <c r="H84" s="18"/>
      <c r="I84" s="18" t="s">
        <v>237</v>
      </c>
      <c r="J84" s="18" t="s">
        <v>85</v>
      </c>
      <c r="K84" s="19">
        <f>ROUND(INDEX('Stats base'!B$5:B$8,MATCH($C84,'Stats base'!$A$5:$A$8,0))*INDEX('Stats base'!B$12:B$14,MATCH($E84,'Stats base'!$A$12:$A$14,0))*INDEX('Stats base'!B$18:B$22,MATCH($J84,'Stats base'!$A$18:$A$22,0))*IFERROR(INDEX(Variación!C$3:C$228,MATCH($G84,Variación!$A$3:$A$228,0)),1),0)</f>
        <v>97</v>
      </c>
      <c r="L84" s="20">
        <f>ROUND(INDEX('Stats base'!C$5:C$8,MATCH($C84,'Stats base'!$A$5:$A$8,0))*INDEX('Stats base'!C$12:C$14,MATCH($E84,'Stats base'!$A$12:$A$14,0))*INDEX('Stats base'!C$18:C$22,MATCH($J84,'Stats base'!$A$18:$A$22,0))*IFERROR(INDEX(Variación!D$3:D$228,MATCH($G84,Variación!$A$3:$A$228,0)),1),1)</f>
        <v>9.3000000000000007</v>
      </c>
      <c r="M84" s="20">
        <f>ROUND(INDEX('Stats base'!D$5:D$8,MATCH($C84,'Stats base'!$A$5:$A$8,0))*INDEX('Stats base'!D$12:D$14,MATCH($E84,'Stats base'!$A$12:$A$14,0))*INDEX('Stats base'!D$18:D$22,MATCH($J84,'Stats base'!$A$18:$A$22,0))*IFERROR(INDEX(Variación!E$3:E$228,MATCH($G84,Variación!$A$3:$A$228,0)),1),1)</f>
        <v>16</v>
      </c>
      <c r="N84" s="20">
        <f>ROUND(INDEX('Stats base'!E$5:E$8,MATCH($C84,'Stats base'!$A$5:$A$8,0))*INDEX('Stats base'!E$12:E$14,MATCH($E84,'Stats base'!$A$12:$A$14,0))*INDEX('Stats base'!E$18:E$22,MATCH($J84,'Stats base'!$A$18:$A$22,0))*IFERROR(INDEX(Variación!F$3:F$228,MATCH($G84,Variación!$A$3:$A$228,0)),1),1)</f>
        <v>4.4000000000000004</v>
      </c>
      <c r="O84" s="19">
        <f>ROUND(INDEX('Stats base'!F$5:F$8,MATCH($C84,'Stats base'!$A$5:$A$8,0))*INDEX('Stats base'!F$12:F$14,MATCH($E84,'Stats base'!$A$12:$A$14,0))*INDEX('Stats base'!F$18:F$22,MATCH($J84,'Stats base'!$A$18:$A$22,0))*IFERROR(INDEX(Variación!G$3:G$228,MATCH($G84,Variación!$A$3:$A$228,0)),1),0)</f>
        <v>121</v>
      </c>
      <c r="P84" s="21">
        <f>MIN('Stats base'!$G$30,ROUND(INDEX('Stats base'!G$5:G$8,MATCH($C84,'Stats base'!$A$5:$A$8,0))*INDEX('Stats base'!G$12:G$14,MATCH($E84,'Stats base'!$A$12:$A$14,0))*INDEX('Stats base'!G$18:G$22,MATCH($J84,'Stats base'!$A$18:$A$22,0))*IFERROR(INDEX(Variación!H$3:H$228,MATCH($G84,Variación!$A$3:$A$228,0)),1),3))</f>
        <v>3.7999999999999999E-2</v>
      </c>
    </row>
    <row r="85" spans="1:16" ht="34.5" hidden="1" customHeight="1" x14ac:dyDescent="0.25">
      <c r="A85" s="15" t="s">
        <v>298</v>
      </c>
      <c r="B85" s="15" t="s">
        <v>299</v>
      </c>
      <c r="C85" s="16" t="s">
        <v>28</v>
      </c>
      <c r="D85" s="17" t="s">
        <v>29</v>
      </c>
      <c r="E85" s="16" t="s">
        <v>42</v>
      </c>
      <c r="F85" s="16" t="s">
        <v>54</v>
      </c>
      <c r="G85" s="18" t="s">
        <v>300</v>
      </c>
      <c r="H85" s="18"/>
      <c r="I85" s="18" t="s">
        <v>237</v>
      </c>
      <c r="J85" s="18" t="s">
        <v>50</v>
      </c>
      <c r="K85" s="19">
        <f>ROUND(INDEX('Stats base'!B$5:B$8,MATCH($C85,'Stats base'!$A$5:$A$8,0))*INDEX('Stats base'!B$12:B$14,MATCH($E85,'Stats base'!$A$12:$A$14,0))*INDEX('Stats base'!B$18:B$22,MATCH($J85,'Stats base'!$A$18:$A$22,0))*IFERROR(INDEX(Variación!C$3:C$228,MATCH($G85,Variación!$A$3:$A$228,0)),1),0)</f>
        <v>139</v>
      </c>
      <c r="L85" s="20">
        <f>ROUND(INDEX('Stats base'!C$5:C$8,MATCH($C85,'Stats base'!$A$5:$A$8,0))*INDEX('Stats base'!C$12:C$14,MATCH($E85,'Stats base'!$A$12:$A$14,0))*INDEX('Stats base'!C$18:C$22,MATCH($J85,'Stats base'!$A$18:$A$22,0))*IFERROR(INDEX(Variación!D$3:D$228,MATCH($G85,Variación!$A$3:$A$228,0)),1),1)</f>
        <v>8.8000000000000007</v>
      </c>
      <c r="M85" s="20">
        <f>ROUND(INDEX('Stats base'!D$5:D$8,MATCH($C85,'Stats base'!$A$5:$A$8,0))*INDEX('Stats base'!D$12:D$14,MATCH($E85,'Stats base'!$A$12:$A$14,0))*INDEX('Stats base'!D$18:D$22,MATCH($J85,'Stats base'!$A$18:$A$22,0))*IFERROR(INDEX(Variación!E$3:E$228,MATCH($G85,Variación!$A$3:$A$228,0)),1),1)</f>
        <v>21.4</v>
      </c>
      <c r="N85" s="20">
        <f>ROUND(INDEX('Stats base'!E$5:E$8,MATCH($C85,'Stats base'!$A$5:$A$8,0))*INDEX('Stats base'!E$12:E$14,MATCH($E85,'Stats base'!$A$12:$A$14,0))*INDEX('Stats base'!E$18:E$22,MATCH($J85,'Stats base'!$A$18:$A$22,0))*IFERROR(INDEX(Variación!F$3:F$228,MATCH($G85,Variación!$A$3:$A$228,0)),1),1)</f>
        <v>8.1</v>
      </c>
      <c r="O85" s="19">
        <f>ROUND(INDEX('Stats base'!F$5:F$8,MATCH($C85,'Stats base'!$A$5:$A$8,0))*INDEX('Stats base'!F$12:F$14,MATCH($E85,'Stats base'!$A$12:$A$14,0))*INDEX('Stats base'!F$18:F$22,MATCH($J85,'Stats base'!$A$18:$A$22,0))*IFERROR(INDEX(Variación!G$3:G$228,MATCH($G85,Variación!$A$3:$A$228,0)),1),0)</f>
        <v>85</v>
      </c>
      <c r="P85" s="21">
        <f>MIN('Stats base'!$G$30,ROUND(INDEX('Stats base'!G$5:G$8,MATCH($C85,'Stats base'!$A$5:$A$8,0))*INDEX('Stats base'!G$12:G$14,MATCH($E85,'Stats base'!$A$12:$A$14,0))*INDEX('Stats base'!G$18:G$22,MATCH($J85,'Stats base'!$A$18:$A$22,0))*IFERROR(INDEX(Variación!H$3:H$228,MATCH($G85,Variación!$A$3:$A$228,0)),1),3))</f>
        <v>8.9999999999999993E-3</v>
      </c>
    </row>
    <row r="86" spans="1:16" ht="34.5" hidden="1" customHeight="1" x14ac:dyDescent="0.25">
      <c r="A86" s="15" t="s">
        <v>301</v>
      </c>
      <c r="B86" s="15" t="s">
        <v>302</v>
      </c>
      <c r="C86" s="16" t="s">
        <v>28</v>
      </c>
      <c r="D86" s="17" t="s">
        <v>29</v>
      </c>
      <c r="E86" s="16" t="s">
        <v>30</v>
      </c>
      <c r="F86" s="16" t="s">
        <v>75</v>
      </c>
      <c r="G86" s="18" t="s">
        <v>303</v>
      </c>
      <c r="H86" s="18"/>
      <c r="I86" s="18" t="s">
        <v>304</v>
      </c>
      <c r="J86" s="18" t="s">
        <v>45</v>
      </c>
      <c r="K86" s="19">
        <f>ROUND(INDEX('Stats base'!B$5:B$8,MATCH($C86,'Stats base'!$A$5:$A$8,0))*INDEX('Stats base'!B$12:B$14,MATCH($E86,'Stats base'!$A$12:$A$14,0))*INDEX('Stats base'!B$18:B$22,MATCH($J86,'Stats base'!$A$18:$A$22,0))*IFERROR(INDEX(Variación!C$3:C$228,MATCH($G86,Variación!$A$3:$A$228,0)),1),0)</f>
        <v>162</v>
      </c>
      <c r="L86" s="20">
        <f>ROUND(INDEX('Stats base'!C$5:C$8,MATCH($C86,'Stats base'!$A$5:$A$8,0))*INDEX('Stats base'!C$12:C$14,MATCH($E86,'Stats base'!$A$12:$A$14,0))*INDEX('Stats base'!C$18:C$22,MATCH($J86,'Stats base'!$A$18:$A$22,0))*IFERROR(INDEX(Variación!D$3:D$228,MATCH($G86,Variación!$A$3:$A$228,0)),1),1)</f>
        <v>12.4</v>
      </c>
      <c r="M86" s="20">
        <f>ROUND(INDEX('Stats base'!D$5:D$8,MATCH($C86,'Stats base'!$A$5:$A$8,0))*INDEX('Stats base'!D$12:D$14,MATCH($E86,'Stats base'!$A$12:$A$14,0))*INDEX('Stats base'!D$18:D$22,MATCH($J86,'Stats base'!$A$18:$A$22,0))*IFERROR(INDEX(Variación!E$3:E$228,MATCH($G86,Variación!$A$3:$A$228,0)),1),1)</f>
        <v>28.7</v>
      </c>
      <c r="N86" s="20">
        <f>ROUND(INDEX('Stats base'!E$5:E$8,MATCH($C86,'Stats base'!$A$5:$A$8,0))*INDEX('Stats base'!E$12:E$14,MATCH($E86,'Stats base'!$A$12:$A$14,0))*INDEX('Stats base'!E$18:E$22,MATCH($J86,'Stats base'!$A$18:$A$22,0))*IFERROR(INDEX(Variación!F$3:F$228,MATCH($G86,Variación!$A$3:$A$228,0)),1),1)</f>
        <v>10.1</v>
      </c>
      <c r="O86" s="19">
        <f>ROUND(INDEX('Stats base'!F$5:F$8,MATCH($C86,'Stats base'!$A$5:$A$8,0))*INDEX('Stats base'!F$12:F$14,MATCH($E86,'Stats base'!$A$12:$A$14,0))*INDEX('Stats base'!F$18:F$22,MATCH($J86,'Stats base'!$A$18:$A$22,0))*IFERROR(INDEX(Variación!G$3:G$228,MATCH($G86,Variación!$A$3:$A$228,0)),1),0)</f>
        <v>97</v>
      </c>
      <c r="P86" s="21">
        <f>MIN('Stats base'!$G$30,ROUND(INDEX('Stats base'!G$5:G$8,MATCH($C86,'Stats base'!$A$5:$A$8,0))*INDEX('Stats base'!G$12:G$14,MATCH($E86,'Stats base'!$A$12:$A$14,0))*INDEX('Stats base'!G$18:G$22,MATCH($J86,'Stats base'!$A$18:$A$22,0))*IFERROR(INDEX(Variación!H$3:H$228,MATCH($G86,Variación!$A$3:$A$228,0)),1),3))</f>
        <v>1.4999999999999999E-2</v>
      </c>
    </row>
    <row r="87" spans="1:16" ht="34.5" hidden="1" customHeight="1" x14ac:dyDescent="0.25">
      <c r="A87" s="15" t="s">
        <v>305</v>
      </c>
      <c r="B87" s="15" t="s">
        <v>306</v>
      </c>
      <c r="C87" s="16" t="s">
        <v>37</v>
      </c>
      <c r="D87" s="17" t="s">
        <v>29</v>
      </c>
      <c r="E87" s="16" t="s">
        <v>53</v>
      </c>
      <c r="F87" s="16" t="s">
        <v>38</v>
      </c>
      <c r="G87" s="18" t="s">
        <v>307</v>
      </c>
      <c r="H87" s="18"/>
      <c r="I87" s="18" t="s">
        <v>304</v>
      </c>
      <c r="J87" s="18" t="s">
        <v>50</v>
      </c>
      <c r="K87" s="19">
        <f>ROUND(INDEX('Stats base'!B$5:B$8,MATCH($C87,'Stats base'!$A$5:$A$8,0))*INDEX('Stats base'!B$12:B$14,MATCH($E87,'Stats base'!$A$12:$A$14,0))*INDEX('Stats base'!B$18:B$22,MATCH($J87,'Stats base'!$A$18:$A$22,0))*IFERROR(INDEX(Variación!C$3:C$228,MATCH($G87,Variación!$A$3:$A$228,0)),1),0)</f>
        <v>133</v>
      </c>
      <c r="L87" s="20">
        <f>ROUND(INDEX('Stats base'!C$5:C$8,MATCH($C87,'Stats base'!$A$5:$A$8,0))*INDEX('Stats base'!C$12:C$14,MATCH($E87,'Stats base'!$A$12:$A$14,0))*INDEX('Stats base'!C$18:C$22,MATCH($J87,'Stats base'!$A$18:$A$22,0))*IFERROR(INDEX(Variación!D$3:D$228,MATCH($G87,Variación!$A$3:$A$228,0)),1),1)</f>
        <v>7.2</v>
      </c>
      <c r="M87" s="20">
        <f>ROUND(INDEX('Stats base'!D$5:D$8,MATCH($C87,'Stats base'!$A$5:$A$8,0))*INDEX('Stats base'!D$12:D$14,MATCH($E87,'Stats base'!$A$12:$A$14,0))*INDEX('Stats base'!D$18:D$22,MATCH($J87,'Stats base'!$A$18:$A$22,0))*IFERROR(INDEX(Variación!E$3:E$228,MATCH($G87,Variación!$A$3:$A$228,0)),1),1)</f>
        <v>12.1</v>
      </c>
      <c r="N87" s="20">
        <f>ROUND(INDEX('Stats base'!E$5:E$8,MATCH($C87,'Stats base'!$A$5:$A$8,0))*INDEX('Stats base'!E$12:E$14,MATCH($E87,'Stats base'!$A$12:$A$14,0))*INDEX('Stats base'!E$18:E$22,MATCH($J87,'Stats base'!$A$18:$A$22,0))*IFERROR(INDEX(Variación!F$3:F$228,MATCH($G87,Variación!$A$3:$A$228,0)),1),1)</f>
        <v>8.5</v>
      </c>
      <c r="O87" s="19">
        <f>ROUND(INDEX('Stats base'!F$5:F$8,MATCH($C87,'Stats base'!$A$5:$A$8,0))*INDEX('Stats base'!F$12:F$14,MATCH($E87,'Stats base'!$A$12:$A$14,0))*INDEX('Stats base'!F$18:F$22,MATCH($J87,'Stats base'!$A$18:$A$22,0))*IFERROR(INDEX(Variación!G$3:G$228,MATCH($G87,Variación!$A$3:$A$228,0)),1),0)</f>
        <v>107</v>
      </c>
      <c r="P87" s="21">
        <f>MIN('Stats base'!$G$30,ROUND(INDEX('Stats base'!G$5:G$8,MATCH($C87,'Stats base'!$A$5:$A$8,0))*INDEX('Stats base'!G$12:G$14,MATCH($E87,'Stats base'!$A$12:$A$14,0))*INDEX('Stats base'!G$18:G$22,MATCH($J87,'Stats base'!$A$18:$A$22,0))*IFERROR(INDEX(Variación!H$3:H$228,MATCH($G87,Variación!$A$3:$A$228,0)),1),3))</f>
        <v>1.7000000000000001E-2</v>
      </c>
    </row>
    <row r="88" spans="1:16" ht="34.5" hidden="1" customHeight="1" x14ac:dyDescent="0.25">
      <c r="A88" s="15" t="s">
        <v>308</v>
      </c>
      <c r="B88" s="15" t="s">
        <v>309</v>
      </c>
      <c r="C88" s="16" t="s">
        <v>37</v>
      </c>
      <c r="D88" s="17" t="s">
        <v>29</v>
      </c>
      <c r="E88" s="16" t="s">
        <v>30</v>
      </c>
      <c r="F88" s="16" t="s">
        <v>54</v>
      </c>
      <c r="G88" s="18" t="s">
        <v>310</v>
      </c>
      <c r="H88" s="18"/>
      <c r="I88" s="18" t="s">
        <v>304</v>
      </c>
      <c r="J88" s="18" t="s">
        <v>50</v>
      </c>
      <c r="K88" s="19">
        <f>ROUND(INDEX('Stats base'!B$5:B$8,MATCH($C88,'Stats base'!$A$5:$A$8,0))*INDEX('Stats base'!B$12:B$14,MATCH($E88,'Stats base'!$A$12:$A$14,0))*INDEX('Stats base'!B$18:B$22,MATCH($J88,'Stats base'!$A$18:$A$22,0))*IFERROR(INDEX(Variación!C$3:C$228,MATCH($G88,Variación!$A$3:$A$228,0)),1),0)</f>
        <v>136</v>
      </c>
      <c r="L88" s="20">
        <f>ROUND(INDEX('Stats base'!C$5:C$8,MATCH($C88,'Stats base'!$A$5:$A$8,0))*INDEX('Stats base'!C$12:C$14,MATCH($E88,'Stats base'!$A$12:$A$14,0))*INDEX('Stats base'!C$18:C$22,MATCH($J88,'Stats base'!$A$18:$A$22,0))*IFERROR(INDEX(Variación!D$3:D$228,MATCH($G88,Variación!$A$3:$A$228,0)),1),1)</f>
        <v>8.1999999999999993</v>
      </c>
      <c r="M88" s="20">
        <f>ROUND(INDEX('Stats base'!D$5:D$8,MATCH($C88,'Stats base'!$A$5:$A$8,0))*INDEX('Stats base'!D$12:D$14,MATCH($E88,'Stats base'!$A$12:$A$14,0))*INDEX('Stats base'!D$18:D$22,MATCH($J88,'Stats base'!$A$18:$A$22,0))*IFERROR(INDEX(Variación!E$3:E$228,MATCH($G88,Variación!$A$3:$A$228,0)),1),1)</f>
        <v>13.6</v>
      </c>
      <c r="N88" s="20">
        <f>ROUND(INDEX('Stats base'!E$5:E$8,MATCH($C88,'Stats base'!$A$5:$A$8,0))*INDEX('Stats base'!E$12:E$14,MATCH($E88,'Stats base'!$A$12:$A$14,0))*INDEX('Stats base'!E$18:E$22,MATCH($J88,'Stats base'!$A$18:$A$22,0))*IFERROR(INDEX(Variación!F$3:F$228,MATCH($G88,Variación!$A$3:$A$228,0)),1),1)</f>
        <v>8.6999999999999993</v>
      </c>
      <c r="O88" s="19">
        <f>ROUND(INDEX('Stats base'!F$5:F$8,MATCH($C88,'Stats base'!$A$5:$A$8,0))*INDEX('Stats base'!F$12:F$14,MATCH($E88,'Stats base'!$A$12:$A$14,0))*INDEX('Stats base'!F$18:F$22,MATCH($J88,'Stats base'!$A$18:$A$22,0))*IFERROR(INDEX(Variación!G$3:G$228,MATCH($G88,Variación!$A$3:$A$228,0)),1),0)</f>
        <v>94</v>
      </c>
      <c r="P88" s="21">
        <f>MIN('Stats base'!$G$30,ROUND(INDEX('Stats base'!G$5:G$8,MATCH($C88,'Stats base'!$A$5:$A$8,0))*INDEX('Stats base'!G$12:G$14,MATCH($E88,'Stats base'!$A$12:$A$14,0))*INDEX('Stats base'!G$18:G$22,MATCH($J88,'Stats base'!$A$18:$A$22,0))*IFERROR(INDEX(Variación!H$3:H$228,MATCH($G88,Variación!$A$3:$A$228,0)),1),3))</f>
        <v>1.4E-2</v>
      </c>
    </row>
    <row r="89" spans="1:16" ht="34.5" hidden="1" customHeight="1" x14ac:dyDescent="0.25">
      <c r="A89" s="15" t="s">
        <v>311</v>
      </c>
      <c r="B89" s="15" t="s">
        <v>312</v>
      </c>
      <c r="C89" s="16" t="s">
        <v>37</v>
      </c>
      <c r="D89" s="17" t="s">
        <v>29</v>
      </c>
      <c r="E89" s="16" t="s">
        <v>42</v>
      </c>
      <c r="F89" s="16" t="s">
        <v>75</v>
      </c>
      <c r="G89" s="18" t="s">
        <v>313</v>
      </c>
      <c r="H89" s="18"/>
      <c r="I89" s="18" t="s">
        <v>304</v>
      </c>
      <c r="J89" s="18" t="s">
        <v>50</v>
      </c>
      <c r="K89" s="19">
        <f>ROUND(INDEX('Stats base'!B$5:B$8,MATCH($C89,'Stats base'!$A$5:$A$8,0))*INDEX('Stats base'!B$12:B$14,MATCH($E89,'Stats base'!$A$12:$A$14,0))*INDEX('Stats base'!B$18:B$22,MATCH($J89,'Stats base'!$A$18:$A$22,0))*IFERROR(INDEX(Variación!C$3:C$228,MATCH($G89,Variación!$A$3:$A$228,0)),1),0)</f>
        <v>148</v>
      </c>
      <c r="L89" s="20">
        <f>ROUND(INDEX('Stats base'!C$5:C$8,MATCH($C89,'Stats base'!$A$5:$A$8,0))*INDEX('Stats base'!C$12:C$14,MATCH($E89,'Stats base'!$A$12:$A$14,0))*INDEX('Stats base'!C$18:C$22,MATCH($J89,'Stats base'!$A$18:$A$22,0))*IFERROR(INDEX(Variación!D$3:D$228,MATCH($G89,Variación!$A$3:$A$228,0)),1),1)</f>
        <v>9.1</v>
      </c>
      <c r="M89" s="20">
        <f>ROUND(INDEX('Stats base'!D$5:D$8,MATCH($C89,'Stats base'!$A$5:$A$8,0))*INDEX('Stats base'!D$12:D$14,MATCH($E89,'Stats base'!$A$12:$A$14,0))*INDEX('Stats base'!D$18:D$22,MATCH($J89,'Stats base'!$A$18:$A$22,0))*IFERROR(INDEX(Variación!E$3:E$228,MATCH($G89,Variación!$A$3:$A$228,0)),1),1)</f>
        <v>16.2</v>
      </c>
      <c r="N89" s="20">
        <f>ROUND(INDEX('Stats base'!E$5:E$8,MATCH($C89,'Stats base'!$A$5:$A$8,0))*INDEX('Stats base'!E$12:E$14,MATCH($E89,'Stats base'!$A$12:$A$14,0))*INDEX('Stats base'!E$18:E$22,MATCH($J89,'Stats base'!$A$18:$A$22,0))*IFERROR(INDEX(Variación!F$3:F$228,MATCH($G89,Variación!$A$3:$A$228,0)),1),1)</f>
        <v>9.6999999999999993</v>
      </c>
      <c r="O89" s="19">
        <f>ROUND(INDEX('Stats base'!F$5:F$8,MATCH($C89,'Stats base'!$A$5:$A$8,0))*INDEX('Stats base'!F$12:F$14,MATCH($E89,'Stats base'!$A$12:$A$14,0))*INDEX('Stats base'!F$18:F$22,MATCH($J89,'Stats base'!$A$18:$A$22,0))*IFERROR(INDEX(Variación!G$3:G$228,MATCH($G89,Variación!$A$3:$A$228,0)),1),0)</f>
        <v>78</v>
      </c>
      <c r="P89" s="21">
        <f>MIN('Stats base'!$G$30,ROUND(INDEX('Stats base'!G$5:G$8,MATCH($C89,'Stats base'!$A$5:$A$8,0))*INDEX('Stats base'!G$12:G$14,MATCH($E89,'Stats base'!$A$12:$A$14,0))*INDEX('Stats base'!G$18:G$22,MATCH($J89,'Stats base'!$A$18:$A$22,0))*IFERROR(INDEX(Variación!H$3:H$228,MATCH($G89,Variación!$A$3:$A$228,0)),1),3))</f>
        <v>1.2999999999999999E-2</v>
      </c>
    </row>
    <row r="90" spans="1:16" ht="34.5" hidden="1" customHeight="1" x14ac:dyDescent="0.25">
      <c r="A90" s="15" t="s">
        <v>314</v>
      </c>
      <c r="B90" s="15" t="s">
        <v>315</v>
      </c>
      <c r="C90" s="16" t="s">
        <v>37</v>
      </c>
      <c r="D90" s="17" t="s">
        <v>29</v>
      </c>
      <c r="E90" s="16" t="s">
        <v>42</v>
      </c>
      <c r="F90" s="16" t="s">
        <v>48</v>
      </c>
      <c r="G90" s="18" t="s">
        <v>316</v>
      </c>
      <c r="H90" s="18"/>
      <c r="I90" s="18" t="s">
        <v>304</v>
      </c>
      <c r="J90" s="18" t="s">
        <v>50</v>
      </c>
      <c r="K90" s="19">
        <f>ROUND(INDEX('Stats base'!B$5:B$8,MATCH($C90,'Stats base'!$A$5:$A$8,0))*INDEX('Stats base'!B$12:B$14,MATCH($E90,'Stats base'!$A$12:$A$14,0))*INDEX('Stats base'!B$18:B$22,MATCH($J90,'Stats base'!$A$18:$A$22,0))*IFERROR(INDEX(Variación!C$3:C$228,MATCH($G90,Variación!$A$3:$A$228,0)),1),0)</f>
        <v>156</v>
      </c>
      <c r="L90" s="20">
        <f>ROUND(INDEX('Stats base'!C$5:C$8,MATCH($C90,'Stats base'!$A$5:$A$8,0))*INDEX('Stats base'!C$12:C$14,MATCH($E90,'Stats base'!$A$12:$A$14,0))*INDEX('Stats base'!C$18:C$22,MATCH($J90,'Stats base'!$A$18:$A$22,0))*IFERROR(INDEX(Variación!D$3:D$228,MATCH($G90,Variación!$A$3:$A$228,0)),1),1)</f>
        <v>8.4</v>
      </c>
      <c r="M90" s="20">
        <f>ROUND(INDEX('Stats base'!D$5:D$8,MATCH($C90,'Stats base'!$A$5:$A$8,0))*INDEX('Stats base'!D$12:D$14,MATCH($E90,'Stats base'!$A$12:$A$14,0))*INDEX('Stats base'!D$18:D$22,MATCH($J90,'Stats base'!$A$18:$A$22,0))*IFERROR(INDEX(Variación!E$3:E$228,MATCH($G90,Variación!$A$3:$A$228,0)),1),1)</f>
        <v>14.3</v>
      </c>
      <c r="N90" s="20">
        <f>ROUND(INDEX('Stats base'!E$5:E$8,MATCH($C90,'Stats base'!$A$5:$A$8,0))*INDEX('Stats base'!E$12:E$14,MATCH($E90,'Stats base'!$A$12:$A$14,0))*INDEX('Stats base'!E$18:E$22,MATCH($J90,'Stats base'!$A$18:$A$22,0))*IFERROR(INDEX(Variación!F$3:F$228,MATCH($G90,Variación!$A$3:$A$228,0)),1),1)</f>
        <v>9.1999999999999993</v>
      </c>
      <c r="O90" s="19">
        <f>ROUND(INDEX('Stats base'!F$5:F$8,MATCH($C90,'Stats base'!$A$5:$A$8,0))*INDEX('Stats base'!F$12:F$14,MATCH($E90,'Stats base'!$A$12:$A$14,0))*INDEX('Stats base'!F$18:F$22,MATCH($J90,'Stats base'!$A$18:$A$22,0))*IFERROR(INDEX(Variación!G$3:G$228,MATCH($G90,Variación!$A$3:$A$228,0)),1),0)</f>
        <v>88</v>
      </c>
      <c r="P90" s="21">
        <f>MIN('Stats base'!$G$30,ROUND(INDEX('Stats base'!G$5:G$8,MATCH($C90,'Stats base'!$A$5:$A$8,0))*INDEX('Stats base'!G$12:G$14,MATCH($E90,'Stats base'!$A$12:$A$14,0))*INDEX('Stats base'!G$18:G$22,MATCH($J90,'Stats base'!$A$18:$A$22,0))*IFERROR(INDEX(Variación!H$3:H$228,MATCH($G90,Variación!$A$3:$A$228,0)),1),3))</f>
        <v>1.2E-2</v>
      </c>
    </row>
    <row r="91" spans="1:16" ht="34.5" customHeight="1" x14ac:dyDescent="0.25">
      <c r="A91" s="15" t="s">
        <v>317</v>
      </c>
      <c r="B91" s="15" t="s">
        <v>318</v>
      </c>
      <c r="C91" s="16" t="s">
        <v>58</v>
      </c>
      <c r="D91" s="17" t="s">
        <v>29</v>
      </c>
      <c r="E91" s="16" t="s">
        <v>30</v>
      </c>
      <c r="F91" s="16" t="s">
        <v>54</v>
      </c>
      <c r="G91" s="18" t="s">
        <v>319</v>
      </c>
      <c r="H91" s="18"/>
      <c r="I91" s="18" t="s">
        <v>304</v>
      </c>
      <c r="J91" s="18" t="s">
        <v>85</v>
      </c>
      <c r="K91" s="19">
        <f>ROUND(INDEX('Stats base'!B$5:B$8,MATCH($C91,'Stats base'!$A$5:$A$8,0))*INDEX('Stats base'!B$12:B$14,MATCH($E91,'Stats base'!$A$12:$A$14,0))*INDEX('Stats base'!B$18:B$22,MATCH($J91,'Stats base'!$A$18:$A$22,0))*IFERROR(INDEX(Variación!C$3:C$228,MATCH($G91,Variación!$A$3:$A$228,0)),1),0)</f>
        <v>85</v>
      </c>
      <c r="L91" s="20">
        <f>ROUND(INDEX('Stats base'!C$5:C$8,MATCH($C91,'Stats base'!$A$5:$A$8,0))*INDEX('Stats base'!C$12:C$14,MATCH($E91,'Stats base'!$A$12:$A$14,0))*INDEX('Stats base'!C$18:C$22,MATCH($J91,'Stats base'!$A$18:$A$22,0))*IFERROR(INDEX(Variación!D$3:D$228,MATCH($G91,Variación!$A$3:$A$228,0)),1),1)</f>
        <v>9.5</v>
      </c>
      <c r="M91" s="20">
        <f>ROUND(INDEX('Stats base'!D$5:D$8,MATCH($C91,'Stats base'!$A$5:$A$8,0))*INDEX('Stats base'!D$12:D$14,MATCH($E91,'Stats base'!$A$12:$A$14,0))*INDEX('Stats base'!D$18:D$22,MATCH($J91,'Stats base'!$A$18:$A$22,0))*IFERROR(INDEX(Variación!E$3:E$228,MATCH($G91,Variación!$A$3:$A$228,0)),1),1)</f>
        <v>15.8</v>
      </c>
      <c r="N91" s="20">
        <f>ROUND(INDEX('Stats base'!E$5:E$8,MATCH($C91,'Stats base'!$A$5:$A$8,0))*INDEX('Stats base'!E$12:E$14,MATCH($E91,'Stats base'!$A$12:$A$14,0))*INDEX('Stats base'!E$18:E$22,MATCH($J91,'Stats base'!$A$18:$A$22,0))*IFERROR(INDEX(Variación!F$3:F$228,MATCH($G91,Variación!$A$3:$A$228,0)),1),1)</f>
        <v>4</v>
      </c>
      <c r="O91" s="19">
        <f>ROUND(INDEX('Stats base'!F$5:F$8,MATCH($C91,'Stats base'!$A$5:$A$8,0))*INDEX('Stats base'!F$12:F$14,MATCH($E91,'Stats base'!$A$12:$A$14,0))*INDEX('Stats base'!F$18:F$22,MATCH($J91,'Stats base'!$A$18:$A$22,0))*IFERROR(INDEX(Variación!G$3:G$228,MATCH($G91,Variación!$A$3:$A$228,0)),1),0)</f>
        <v>106</v>
      </c>
      <c r="P91" s="21">
        <f>MIN('Stats base'!$G$30,ROUND(INDEX('Stats base'!G$5:G$8,MATCH($C91,'Stats base'!$A$5:$A$8,0))*INDEX('Stats base'!G$12:G$14,MATCH($E91,'Stats base'!$A$12:$A$14,0))*INDEX('Stats base'!G$18:G$22,MATCH($J91,'Stats base'!$A$18:$A$22,0))*IFERROR(INDEX(Variación!H$3:H$228,MATCH($G91,Variación!$A$3:$A$228,0)),1),3))</f>
        <v>3.3000000000000002E-2</v>
      </c>
    </row>
    <row r="92" spans="1:16" ht="34.5" hidden="1" customHeight="1" x14ac:dyDescent="0.25">
      <c r="A92" s="15" t="s">
        <v>320</v>
      </c>
      <c r="B92" s="15" t="s">
        <v>321</v>
      </c>
      <c r="C92" s="16" t="s">
        <v>58</v>
      </c>
      <c r="D92" s="17" t="s">
        <v>29</v>
      </c>
      <c r="E92" s="16" t="s">
        <v>30</v>
      </c>
      <c r="F92" s="16" t="s">
        <v>48</v>
      </c>
      <c r="G92" s="18" t="s">
        <v>322</v>
      </c>
      <c r="H92" s="18"/>
      <c r="I92" s="18" t="s">
        <v>304</v>
      </c>
      <c r="J92" s="18" t="s">
        <v>70</v>
      </c>
      <c r="K92" s="19">
        <f>ROUND(INDEX('Stats base'!B$5:B$8,MATCH($C92,'Stats base'!$A$5:$A$8,0))*INDEX('Stats base'!B$12:B$14,MATCH($E92,'Stats base'!$A$12:$A$14,0))*INDEX('Stats base'!B$18:B$22,MATCH($J92,'Stats base'!$A$18:$A$22,0))*IFERROR(INDEX(Variación!C$3:C$228,MATCH($G92,Variación!$A$3:$A$228,0)),1),0)</f>
        <v>114</v>
      </c>
      <c r="L92" s="20">
        <f>ROUND(INDEX('Stats base'!C$5:C$8,MATCH($C92,'Stats base'!$A$5:$A$8,0))*INDEX('Stats base'!C$12:C$14,MATCH($E92,'Stats base'!$A$12:$A$14,0))*INDEX('Stats base'!C$18:C$22,MATCH($J92,'Stats base'!$A$18:$A$22,0))*IFERROR(INDEX(Variación!D$3:D$228,MATCH($G92,Variación!$A$3:$A$228,0)),1),1)</f>
        <v>10</v>
      </c>
      <c r="M92" s="20">
        <f>ROUND(INDEX('Stats base'!D$5:D$8,MATCH($C92,'Stats base'!$A$5:$A$8,0))*INDEX('Stats base'!D$12:D$14,MATCH($E92,'Stats base'!$A$12:$A$14,0))*INDEX('Stats base'!D$18:D$22,MATCH($J92,'Stats base'!$A$18:$A$22,0))*IFERROR(INDEX(Variación!E$3:E$228,MATCH($G92,Variación!$A$3:$A$228,0)),1),1)</f>
        <v>18.399999999999999</v>
      </c>
      <c r="N92" s="20">
        <f>ROUND(INDEX('Stats base'!E$5:E$8,MATCH($C92,'Stats base'!$A$5:$A$8,0))*INDEX('Stats base'!E$12:E$14,MATCH($E92,'Stats base'!$A$12:$A$14,0))*INDEX('Stats base'!E$18:E$22,MATCH($J92,'Stats base'!$A$18:$A$22,0))*IFERROR(INDEX(Variación!F$3:F$228,MATCH($G92,Variación!$A$3:$A$228,0)),1),1)</f>
        <v>4.9000000000000004</v>
      </c>
      <c r="O92" s="19">
        <f>ROUND(INDEX('Stats base'!F$5:F$8,MATCH($C92,'Stats base'!$A$5:$A$8,0))*INDEX('Stats base'!F$12:F$14,MATCH($E92,'Stats base'!$A$12:$A$14,0))*INDEX('Stats base'!F$18:F$22,MATCH($J92,'Stats base'!$A$18:$A$22,0))*IFERROR(INDEX(Variación!G$3:G$228,MATCH($G92,Variación!$A$3:$A$228,0)),1),0)</f>
        <v>100</v>
      </c>
      <c r="P92" s="21">
        <f>MIN('Stats base'!$G$30,ROUND(INDEX('Stats base'!G$5:G$8,MATCH($C92,'Stats base'!$A$5:$A$8,0))*INDEX('Stats base'!G$12:G$14,MATCH($E92,'Stats base'!$A$12:$A$14,0))*INDEX('Stats base'!G$18:G$22,MATCH($J92,'Stats base'!$A$18:$A$22,0))*IFERROR(INDEX(Variación!H$3:H$228,MATCH($G92,Variación!$A$3:$A$228,0)),1),3))</f>
        <v>4.9000000000000002E-2</v>
      </c>
    </row>
    <row r="93" spans="1:16" ht="34.5" customHeight="1" x14ac:dyDescent="0.25">
      <c r="A93" s="15" t="s">
        <v>323</v>
      </c>
      <c r="B93" s="15" t="s">
        <v>324</v>
      </c>
      <c r="C93" s="16" t="s">
        <v>58</v>
      </c>
      <c r="D93" s="17" t="s">
        <v>29</v>
      </c>
      <c r="E93" s="16" t="s">
        <v>30</v>
      </c>
      <c r="F93" s="16" t="s">
        <v>54</v>
      </c>
      <c r="G93" s="18" t="s">
        <v>325</v>
      </c>
      <c r="H93" s="18"/>
      <c r="I93" s="18" t="s">
        <v>304</v>
      </c>
      <c r="J93" s="18" t="s">
        <v>85</v>
      </c>
      <c r="K93" s="19">
        <f>ROUND(INDEX('Stats base'!B$5:B$8,MATCH($C93,'Stats base'!$A$5:$A$8,0))*INDEX('Stats base'!B$12:B$14,MATCH($E93,'Stats base'!$A$12:$A$14,0))*INDEX('Stats base'!B$18:B$22,MATCH($J93,'Stats base'!$A$18:$A$22,0))*IFERROR(INDEX(Variación!C$3:C$228,MATCH($G93,Variación!$A$3:$A$228,0)),1),0)</f>
        <v>86</v>
      </c>
      <c r="L93" s="20">
        <f>ROUND(INDEX('Stats base'!C$5:C$8,MATCH($C93,'Stats base'!$A$5:$A$8,0))*INDEX('Stats base'!C$12:C$14,MATCH($E93,'Stats base'!$A$12:$A$14,0))*INDEX('Stats base'!C$18:C$22,MATCH($J93,'Stats base'!$A$18:$A$22,0))*IFERROR(INDEX(Variación!D$3:D$228,MATCH($G93,Variación!$A$3:$A$228,0)),1),1)</f>
        <v>9.1</v>
      </c>
      <c r="M93" s="20">
        <f>ROUND(INDEX('Stats base'!D$5:D$8,MATCH($C93,'Stats base'!$A$5:$A$8,0))*INDEX('Stats base'!D$12:D$14,MATCH($E93,'Stats base'!$A$12:$A$14,0))*INDEX('Stats base'!D$18:D$22,MATCH($J93,'Stats base'!$A$18:$A$22,0))*IFERROR(INDEX(Variación!E$3:E$228,MATCH($G93,Variación!$A$3:$A$228,0)),1),1)</f>
        <v>17</v>
      </c>
      <c r="N93" s="20">
        <f>ROUND(INDEX('Stats base'!E$5:E$8,MATCH($C93,'Stats base'!$A$5:$A$8,0))*INDEX('Stats base'!E$12:E$14,MATCH($E93,'Stats base'!$A$12:$A$14,0))*INDEX('Stats base'!E$18:E$22,MATCH($J93,'Stats base'!$A$18:$A$22,0))*IFERROR(INDEX(Variación!F$3:F$228,MATCH($G93,Variación!$A$3:$A$228,0)),1),1)</f>
        <v>3.6</v>
      </c>
      <c r="O93" s="19">
        <f>ROUND(INDEX('Stats base'!F$5:F$8,MATCH($C93,'Stats base'!$A$5:$A$8,0))*INDEX('Stats base'!F$12:F$14,MATCH($E93,'Stats base'!$A$12:$A$14,0))*INDEX('Stats base'!F$18:F$22,MATCH($J93,'Stats base'!$A$18:$A$22,0))*IFERROR(INDEX(Variación!G$3:G$228,MATCH($G93,Variación!$A$3:$A$228,0)),1),0)</f>
        <v>100</v>
      </c>
      <c r="P93" s="21">
        <f>MIN('Stats base'!$G$30,ROUND(INDEX('Stats base'!G$5:G$8,MATCH($C93,'Stats base'!$A$5:$A$8,0))*INDEX('Stats base'!G$12:G$14,MATCH($E93,'Stats base'!$A$12:$A$14,0))*INDEX('Stats base'!G$18:G$22,MATCH($J93,'Stats base'!$A$18:$A$22,0))*IFERROR(INDEX(Variación!H$3:H$228,MATCH($G93,Variación!$A$3:$A$228,0)),1),3))</f>
        <v>3.4000000000000002E-2</v>
      </c>
    </row>
    <row r="94" spans="1:16" ht="34.5" hidden="1" customHeight="1" x14ac:dyDescent="0.25">
      <c r="A94" s="15" t="s">
        <v>326</v>
      </c>
      <c r="B94" s="15" t="s">
        <v>327</v>
      </c>
      <c r="C94" s="16" t="s">
        <v>68</v>
      </c>
      <c r="D94" s="17" t="s">
        <v>29</v>
      </c>
      <c r="E94" s="16" t="s">
        <v>30</v>
      </c>
      <c r="F94" s="16" t="s">
        <v>38</v>
      </c>
      <c r="G94" s="18" t="s">
        <v>328</v>
      </c>
      <c r="H94" s="18"/>
      <c r="I94" s="18" t="s">
        <v>304</v>
      </c>
      <c r="J94" s="18" t="s">
        <v>50</v>
      </c>
      <c r="K94" s="19">
        <f>ROUND(INDEX('Stats base'!B$5:B$8,MATCH($C94,'Stats base'!$A$5:$A$8,0))*INDEX('Stats base'!B$12:B$14,MATCH($E94,'Stats base'!$A$12:$A$14,0))*INDEX('Stats base'!B$18:B$22,MATCH($J94,'Stats base'!$A$18:$A$22,0))*IFERROR(INDEX(Variación!C$3:C$228,MATCH($G94,Variación!$A$3:$A$228,0)),1),0)</f>
        <v>95</v>
      </c>
      <c r="L94" s="20">
        <f>ROUND(INDEX('Stats base'!C$5:C$8,MATCH($C94,'Stats base'!$A$5:$A$8,0))*INDEX('Stats base'!C$12:C$14,MATCH($E94,'Stats base'!$A$12:$A$14,0))*INDEX('Stats base'!C$18:C$22,MATCH($J94,'Stats base'!$A$18:$A$22,0))*IFERROR(INDEX(Variación!D$3:D$228,MATCH($G94,Variación!$A$3:$A$228,0)),1),1)</f>
        <v>13.4</v>
      </c>
      <c r="M94" s="20">
        <f>ROUND(INDEX('Stats base'!D$5:D$8,MATCH($C94,'Stats base'!$A$5:$A$8,0))*INDEX('Stats base'!D$12:D$14,MATCH($E94,'Stats base'!$A$12:$A$14,0))*INDEX('Stats base'!D$18:D$22,MATCH($J94,'Stats base'!$A$18:$A$22,0))*IFERROR(INDEX(Variación!E$3:E$228,MATCH($G94,Variación!$A$3:$A$228,0)),1),1)</f>
        <v>23.1</v>
      </c>
      <c r="N94" s="20">
        <f>ROUND(INDEX('Stats base'!E$5:E$8,MATCH($C94,'Stats base'!$A$5:$A$8,0))*INDEX('Stats base'!E$12:E$14,MATCH($E94,'Stats base'!$A$12:$A$14,0))*INDEX('Stats base'!E$18:E$22,MATCH($J94,'Stats base'!$A$18:$A$22,0))*IFERROR(INDEX(Variación!F$3:F$228,MATCH($G94,Variación!$A$3:$A$228,0)),1),1)</f>
        <v>3.5</v>
      </c>
      <c r="O94" s="19">
        <f>ROUND(INDEX('Stats base'!F$5:F$8,MATCH($C94,'Stats base'!$A$5:$A$8,0))*INDEX('Stats base'!F$12:F$14,MATCH($E94,'Stats base'!$A$12:$A$14,0))*INDEX('Stats base'!F$18:F$22,MATCH($J94,'Stats base'!$A$18:$A$22,0))*IFERROR(INDEX(Variación!G$3:G$228,MATCH($G94,Variación!$A$3:$A$228,0)),1),0)</f>
        <v>106</v>
      </c>
      <c r="P94" s="21">
        <f>MIN('Stats base'!$G$30,ROUND(INDEX('Stats base'!G$5:G$8,MATCH($C94,'Stats base'!$A$5:$A$8,0))*INDEX('Stats base'!G$12:G$14,MATCH($E94,'Stats base'!$A$12:$A$14,0))*INDEX('Stats base'!G$18:G$22,MATCH($J94,'Stats base'!$A$18:$A$22,0))*IFERROR(INDEX(Variación!H$3:H$228,MATCH($G94,Variación!$A$3:$A$228,0)),1),3))</f>
        <v>2.5999999999999999E-2</v>
      </c>
    </row>
    <row r="95" spans="1:16" ht="34.5" customHeight="1" x14ac:dyDescent="0.25">
      <c r="A95" s="15" t="s">
        <v>329</v>
      </c>
      <c r="B95" s="15" t="s">
        <v>330</v>
      </c>
      <c r="C95" s="16" t="s">
        <v>58</v>
      </c>
      <c r="D95" s="17" t="s">
        <v>29</v>
      </c>
      <c r="E95" s="16" t="s">
        <v>30</v>
      </c>
      <c r="F95" s="16" t="s">
        <v>48</v>
      </c>
      <c r="G95" s="18" t="s">
        <v>331</v>
      </c>
      <c r="H95" s="18"/>
      <c r="I95" s="18" t="s">
        <v>304</v>
      </c>
      <c r="J95" s="18" t="s">
        <v>85</v>
      </c>
      <c r="K95" s="19">
        <f>ROUND(INDEX('Stats base'!B$5:B$8,MATCH($C95,'Stats base'!$A$5:$A$8,0))*INDEX('Stats base'!B$12:B$14,MATCH($E95,'Stats base'!$A$12:$A$14,0))*INDEX('Stats base'!B$18:B$22,MATCH($J95,'Stats base'!$A$18:$A$22,0))*IFERROR(INDEX(Variación!C$3:C$228,MATCH($G95,Variación!$A$3:$A$228,0)),1),0)</f>
        <v>101</v>
      </c>
      <c r="L95" s="20">
        <f>ROUND(INDEX('Stats base'!C$5:C$8,MATCH($C95,'Stats base'!$A$5:$A$8,0))*INDEX('Stats base'!C$12:C$14,MATCH($E95,'Stats base'!$A$12:$A$14,0))*INDEX('Stats base'!C$18:C$22,MATCH($J95,'Stats base'!$A$18:$A$22,0))*IFERROR(INDEX(Variación!D$3:D$228,MATCH($G95,Variación!$A$3:$A$228,0)),1),1)</f>
        <v>7.8</v>
      </c>
      <c r="M95" s="20">
        <f>ROUND(INDEX('Stats base'!D$5:D$8,MATCH($C95,'Stats base'!$A$5:$A$8,0))*INDEX('Stats base'!D$12:D$14,MATCH($E95,'Stats base'!$A$12:$A$14,0))*INDEX('Stats base'!D$18:D$22,MATCH($J95,'Stats base'!$A$18:$A$22,0))*IFERROR(INDEX(Variación!E$3:E$228,MATCH($G95,Variación!$A$3:$A$228,0)),1),1)</f>
        <v>14.9</v>
      </c>
      <c r="N95" s="20">
        <f>ROUND(INDEX('Stats base'!E$5:E$8,MATCH($C95,'Stats base'!$A$5:$A$8,0))*INDEX('Stats base'!E$12:E$14,MATCH($E95,'Stats base'!$A$12:$A$14,0))*INDEX('Stats base'!E$18:E$22,MATCH($J95,'Stats base'!$A$18:$A$22,0))*IFERROR(INDEX(Variación!F$3:F$228,MATCH($G95,Variación!$A$3:$A$228,0)),1),1)</f>
        <v>4.3</v>
      </c>
      <c r="O95" s="19">
        <f>ROUND(INDEX('Stats base'!F$5:F$8,MATCH($C95,'Stats base'!$A$5:$A$8,0))*INDEX('Stats base'!F$12:F$14,MATCH($E95,'Stats base'!$A$12:$A$14,0))*INDEX('Stats base'!F$18:F$22,MATCH($J95,'Stats base'!$A$18:$A$22,0))*IFERROR(INDEX(Variación!G$3:G$228,MATCH($G95,Variación!$A$3:$A$228,0)),1),0)</f>
        <v>109</v>
      </c>
      <c r="P95" s="21">
        <f>MIN('Stats base'!$G$30,ROUND(INDEX('Stats base'!G$5:G$8,MATCH($C95,'Stats base'!$A$5:$A$8,0))*INDEX('Stats base'!G$12:G$14,MATCH($E95,'Stats base'!$A$12:$A$14,0))*INDEX('Stats base'!G$18:G$22,MATCH($J95,'Stats base'!$A$18:$A$22,0))*IFERROR(INDEX(Variación!H$3:H$228,MATCH($G95,Variación!$A$3:$A$228,0)),1),3))</f>
        <v>3.5999999999999997E-2</v>
      </c>
    </row>
    <row r="96" spans="1:16" ht="34.5" hidden="1" customHeight="1" x14ac:dyDescent="0.25">
      <c r="A96" s="15" t="s">
        <v>332</v>
      </c>
      <c r="B96" s="15" t="s">
        <v>333</v>
      </c>
      <c r="C96" s="16" t="s">
        <v>68</v>
      </c>
      <c r="D96" s="17" t="s">
        <v>29</v>
      </c>
      <c r="E96" s="16" t="s">
        <v>30</v>
      </c>
      <c r="F96" s="16" t="s">
        <v>54</v>
      </c>
      <c r="G96" s="18" t="s">
        <v>334</v>
      </c>
      <c r="H96" s="18"/>
      <c r="I96" s="18" t="s">
        <v>304</v>
      </c>
      <c r="J96" s="18" t="s">
        <v>45</v>
      </c>
      <c r="K96" s="19">
        <f>ROUND(INDEX('Stats base'!B$5:B$8,MATCH($C96,'Stats base'!$A$5:$A$8,0))*INDEX('Stats base'!B$12:B$14,MATCH($E96,'Stats base'!$A$12:$A$14,0))*INDEX('Stats base'!B$18:B$22,MATCH($J96,'Stats base'!$A$18:$A$22,0))*IFERROR(INDEX(Variación!C$3:C$228,MATCH($G96,Variación!$A$3:$A$228,0)),1),0)</f>
        <v>114</v>
      </c>
      <c r="L96" s="20">
        <f>ROUND(INDEX('Stats base'!C$5:C$8,MATCH($C96,'Stats base'!$A$5:$A$8,0))*INDEX('Stats base'!C$12:C$14,MATCH($E96,'Stats base'!$A$12:$A$14,0))*INDEX('Stats base'!C$18:C$22,MATCH($J96,'Stats base'!$A$18:$A$22,0))*IFERROR(INDEX(Variación!D$3:D$228,MATCH($G96,Variación!$A$3:$A$228,0)),1),1)</f>
        <v>17.7</v>
      </c>
      <c r="M96" s="20">
        <f>ROUND(INDEX('Stats base'!D$5:D$8,MATCH($C96,'Stats base'!$A$5:$A$8,0))*INDEX('Stats base'!D$12:D$14,MATCH($E96,'Stats base'!$A$12:$A$14,0))*INDEX('Stats base'!D$18:D$22,MATCH($J96,'Stats base'!$A$18:$A$22,0))*IFERROR(INDEX(Variación!E$3:E$228,MATCH($G96,Variación!$A$3:$A$228,0)),1),1)</f>
        <v>29.6</v>
      </c>
      <c r="N96" s="20">
        <f>ROUND(INDEX('Stats base'!E$5:E$8,MATCH($C96,'Stats base'!$A$5:$A$8,0))*INDEX('Stats base'!E$12:E$14,MATCH($E96,'Stats base'!$A$12:$A$14,0))*INDEX('Stats base'!E$18:E$22,MATCH($J96,'Stats base'!$A$18:$A$22,0))*IFERROR(INDEX(Variación!F$3:F$228,MATCH($G96,Variación!$A$3:$A$228,0)),1),1)</f>
        <v>4.3</v>
      </c>
      <c r="O96" s="19">
        <f>ROUND(INDEX('Stats base'!F$5:F$8,MATCH($C96,'Stats base'!$A$5:$A$8,0))*INDEX('Stats base'!F$12:F$14,MATCH($E96,'Stats base'!$A$12:$A$14,0))*INDEX('Stats base'!F$18:F$22,MATCH($J96,'Stats base'!$A$18:$A$22,0))*IFERROR(INDEX(Variación!G$3:G$228,MATCH($G96,Variación!$A$3:$A$228,0)),1),0)</f>
        <v>105</v>
      </c>
      <c r="P96" s="21">
        <f>MIN('Stats base'!$G$30,ROUND(INDEX('Stats base'!G$5:G$8,MATCH($C96,'Stats base'!$A$5:$A$8,0))*INDEX('Stats base'!G$12:G$14,MATCH($E96,'Stats base'!$A$12:$A$14,0))*INDEX('Stats base'!G$18:G$22,MATCH($J96,'Stats base'!$A$18:$A$22,0))*IFERROR(INDEX(Variación!H$3:H$228,MATCH($G96,Variación!$A$3:$A$228,0)),1),3))</f>
        <v>3.5000000000000003E-2</v>
      </c>
    </row>
    <row r="97" spans="1:16" ht="34.5" hidden="1" customHeight="1" x14ac:dyDescent="0.25">
      <c r="A97" s="15" t="s">
        <v>335</v>
      </c>
      <c r="B97" s="15" t="s">
        <v>336</v>
      </c>
      <c r="C97" s="16" t="s">
        <v>28</v>
      </c>
      <c r="D97" s="17" t="s">
        <v>29</v>
      </c>
      <c r="E97" s="16" t="s">
        <v>30</v>
      </c>
      <c r="F97" s="16" t="s">
        <v>48</v>
      </c>
      <c r="G97" s="18" t="s">
        <v>337</v>
      </c>
      <c r="H97" s="18"/>
      <c r="I97" s="18" t="s">
        <v>304</v>
      </c>
      <c r="J97" s="18" t="s">
        <v>50</v>
      </c>
      <c r="K97" s="19">
        <f>ROUND(INDEX('Stats base'!B$5:B$8,MATCH($C97,'Stats base'!$A$5:$A$8,0))*INDEX('Stats base'!B$12:B$14,MATCH($E97,'Stats base'!$A$12:$A$14,0))*INDEX('Stats base'!B$18:B$22,MATCH($J97,'Stats base'!$A$18:$A$22,0))*IFERROR(INDEX(Variación!C$3:C$228,MATCH($G97,Variación!$A$3:$A$228,0)),1),0)</f>
        <v>113</v>
      </c>
      <c r="L97" s="20">
        <f>ROUND(INDEX('Stats base'!C$5:C$8,MATCH($C97,'Stats base'!$A$5:$A$8,0))*INDEX('Stats base'!C$12:C$14,MATCH($E97,'Stats base'!$A$12:$A$14,0))*INDEX('Stats base'!C$18:C$22,MATCH($J97,'Stats base'!$A$18:$A$22,0))*IFERROR(INDEX(Variación!D$3:D$228,MATCH($G97,Variación!$A$3:$A$228,0)),1),1)</f>
        <v>9.1</v>
      </c>
      <c r="M97" s="20">
        <f>ROUND(INDEX('Stats base'!D$5:D$8,MATCH($C97,'Stats base'!$A$5:$A$8,0))*INDEX('Stats base'!D$12:D$14,MATCH($E97,'Stats base'!$A$12:$A$14,0))*INDEX('Stats base'!D$18:D$22,MATCH($J97,'Stats base'!$A$18:$A$22,0))*IFERROR(INDEX(Variación!E$3:E$228,MATCH($G97,Variación!$A$3:$A$228,0)),1),1)</f>
        <v>20.399999999999999</v>
      </c>
      <c r="N97" s="20">
        <f>ROUND(INDEX('Stats base'!E$5:E$8,MATCH($C97,'Stats base'!$A$5:$A$8,0))*INDEX('Stats base'!E$12:E$14,MATCH($E97,'Stats base'!$A$12:$A$14,0))*INDEX('Stats base'!E$18:E$22,MATCH($J97,'Stats base'!$A$18:$A$22,0))*IFERROR(INDEX(Variación!F$3:F$228,MATCH($G97,Variación!$A$3:$A$228,0)),1),1)</f>
        <v>6.9</v>
      </c>
      <c r="O97" s="19">
        <f>ROUND(INDEX('Stats base'!F$5:F$8,MATCH($C97,'Stats base'!$A$5:$A$8,0))*INDEX('Stats base'!F$12:F$14,MATCH($E97,'Stats base'!$A$12:$A$14,0))*INDEX('Stats base'!F$18:F$22,MATCH($J97,'Stats base'!$A$18:$A$22,0))*IFERROR(INDEX(Variación!G$3:G$228,MATCH($G97,Variación!$A$3:$A$228,0)),1),0)</f>
        <v>81</v>
      </c>
      <c r="P97" s="21">
        <f>MIN('Stats base'!$G$30,ROUND(INDEX('Stats base'!G$5:G$8,MATCH($C97,'Stats base'!$A$5:$A$8,0))*INDEX('Stats base'!G$12:G$14,MATCH($E97,'Stats base'!$A$12:$A$14,0))*INDEX('Stats base'!G$18:G$22,MATCH($J97,'Stats base'!$A$18:$A$22,0))*IFERROR(INDEX(Variación!H$3:H$228,MATCH($G97,Variación!$A$3:$A$228,0)),1),3))</f>
        <v>0.01</v>
      </c>
    </row>
    <row r="98" spans="1:16" ht="34.5" hidden="1" customHeight="1" x14ac:dyDescent="0.25">
      <c r="A98" s="15" t="s">
        <v>338</v>
      </c>
      <c r="B98" s="15" t="s">
        <v>339</v>
      </c>
      <c r="C98" s="16" t="s">
        <v>58</v>
      </c>
      <c r="D98" s="17" t="s">
        <v>29</v>
      </c>
      <c r="E98" s="16" t="s">
        <v>30</v>
      </c>
      <c r="F98" s="16" t="s">
        <v>31</v>
      </c>
      <c r="G98" s="18" t="s">
        <v>340</v>
      </c>
      <c r="H98" s="18"/>
      <c r="I98" s="18" t="s">
        <v>304</v>
      </c>
      <c r="J98" s="18" t="s">
        <v>50</v>
      </c>
      <c r="K98" s="19">
        <f>ROUND(INDEX('Stats base'!B$5:B$8,MATCH($C98,'Stats base'!$A$5:$A$8,0))*INDEX('Stats base'!B$12:B$14,MATCH($E98,'Stats base'!$A$12:$A$14,0))*INDEX('Stats base'!B$18:B$22,MATCH($J98,'Stats base'!$A$18:$A$22,0))*IFERROR(INDEX(Variación!C$3:C$228,MATCH($G98,Variación!$A$3:$A$228,0)),1),0)</f>
        <v>94</v>
      </c>
      <c r="L98" s="20">
        <f>ROUND(INDEX('Stats base'!C$5:C$8,MATCH($C98,'Stats base'!$A$5:$A$8,0))*INDEX('Stats base'!C$12:C$14,MATCH($E98,'Stats base'!$A$12:$A$14,0))*INDEX('Stats base'!C$18:C$22,MATCH($J98,'Stats base'!$A$18:$A$22,0))*IFERROR(INDEX(Variación!D$3:D$228,MATCH($G98,Variación!$A$3:$A$228,0)),1),1)</f>
        <v>9.5</v>
      </c>
      <c r="M98" s="20">
        <f>ROUND(INDEX('Stats base'!D$5:D$8,MATCH($C98,'Stats base'!$A$5:$A$8,0))*INDEX('Stats base'!D$12:D$14,MATCH($E98,'Stats base'!$A$12:$A$14,0))*INDEX('Stats base'!D$18:D$22,MATCH($J98,'Stats base'!$A$18:$A$22,0))*IFERROR(INDEX(Variación!E$3:E$228,MATCH($G98,Variación!$A$3:$A$228,0)),1),1)</f>
        <v>17</v>
      </c>
      <c r="N98" s="20">
        <f>ROUND(INDEX('Stats base'!E$5:E$8,MATCH($C98,'Stats base'!$A$5:$A$8,0))*INDEX('Stats base'!E$12:E$14,MATCH($E98,'Stats base'!$A$12:$A$14,0))*INDEX('Stats base'!E$18:E$22,MATCH($J98,'Stats base'!$A$18:$A$22,0))*IFERROR(INDEX(Variación!F$3:F$228,MATCH($G98,Variación!$A$3:$A$228,0)),1),1)</f>
        <v>4.0999999999999996</v>
      </c>
      <c r="O98" s="19">
        <f>ROUND(INDEX('Stats base'!F$5:F$8,MATCH($C98,'Stats base'!$A$5:$A$8,0))*INDEX('Stats base'!F$12:F$14,MATCH($E98,'Stats base'!$A$12:$A$14,0))*INDEX('Stats base'!F$18:F$22,MATCH($J98,'Stats base'!$A$18:$A$22,0))*IFERROR(INDEX(Variación!G$3:G$228,MATCH($G98,Variación!$A$3:$A$228,0)),1),0)</f>
        <v>108</v>
      </c>
      <c r="P98" s="21">
        <f>MIN('Stats base'!$G$30,ROUND(INDEX('Stats base'!G$5:G$8,MATCH($C98,'Stats base'!$A$5:$A$8,0))*INDEX('Stats base'!G$12:G$14,MATCH($E98,'Stats base'!$A$12:$A$14,0))*INDEX('Stats base'!G$18:G$22,MATCH($J98,'Stats base'!$A$18:$A$22,0))*IFERROR(INDEX(Variación!H$3:H$228,MATCH($G98,Variación!$A$3:$A$228,0)),1),3))</f>
        <v>4.1000000000000002E-2</v>
      </c>
    </row>
    <row r="99" spans="1:16" ht="34.5" hidden="1" customHeight="1" x14ac:dyDescent="0.25">
      <c r="A99" s="15" t="s">
        <v>341</v>
      </c>
      <c r="B99" s="15" t="s">
        <v>342</v>
      </c>
      <c r="C99" s="16" t="s">
        <v>58</v>
      </c>
      <c r="D99" s="17" t="s">
        <v>29</v>
      </c>
      <c r="E99" s="16" t="s">
        <v>30</v>
      </c>
      <c r="F99" s="16" t="s">
        <v>43</v>
      </c>
      <c r="G99" s="18" t="s">
        <v>343</v>
      </c>
      <c r="H99" s="18"/>
      <c r="I99" s="18" t="s">
        <v>304</v>
      </c>
      <c r="J99" s="18" t="s">
        <v>50</v>
      </c>
      <c r="K99" s="19">
        <f>ROUND(INDEX('Stats base'!B$5:B$8,MATCH($C99,'Stats base'!$A$5:$A$8,0))*INDEX('Stats base'!B$12:B$14,MATCH($E99,'Stats base'!$A$12:$A$14,0))*INDEX('Stats base'!B$18:B$22,MATCH($J99,'Stats base'!$A$18:$A$22,0))*IFERROR(INDEX(Variación!C$3:C$228,MATCH($G99,Variación!$A$3:$A$228,0)),1),0)</f>
        <v>95</v>
      </c>
      <c r="L99" s="20">
        <f>ROUND(INDEX('Stats base'!C$5:C$8,MATCH($C99,'Stats base'!$A$5:$A$8,0))*INDEX('Stats base'!C$12:C$14,MATCH($E99,'Stats base'!$A$12:$A$14,0))*INDEX('Stats base'!C$18:C$22,MATCH($J99,'Stats base'!$A$18:$A$22,0))*IFERROR(INDEX(Variación!D$3:D$228,MATCH($G99,Variación!$A$3:$A$228,0)),1),1)</f>
        <v>10.6</v>
      </c>
      <c r="M99" s="20">
        <f>ROUND(INDEX('Stats base'!D$5:D$8,MATCH($C99,'Stats base'!$A$5:$A$8,0))*INDEX('Stats base'!D$12:D$14,MATCH($E99,'Stats base'!$A$12:$A$14,0))*INDEX('Stats base'!D$18:D$22,MATCH($J99,'Stats base'!$A$18:$A$22,0))*IFERROR(INDEX(Variación!E$3:E$228,MATCH($G99,Variación!$A$3:$A$228,0)),1),1)</f>
        <v>19.7</v>
      </c>
      <c r="N99" s="20">
        <f>ROUND(INDEX('Stats base'!E$5:E$8,MATCH($C99,'Stats base'!$A$5:$A$8,0))*INDEX('Stats base'!E$12:E$14,MATCH($E99,'Stats base'!$A$12:$A$14,0))*INDEX('Stats base'!E$18:E$22,MATCH($J99,'Stats base'!$A$18:$A$22,0))*IFERROR(INDEX(Variación!F$3:F$228,MATCH($G99,Variación!$A$3:$A$228,0)),1),1)</f>
        <v>4.5999999999999996</v>
      </c>
      <c r="O99" s="19">
        <f>ROUND(INDEX('Stats base'!F$5:F$8,MATCH($C99,'Stats base'!$A$5:$A$8,0))*INDEX('Stats base'!F$12:F$14,MATCH($E99,'Stats base'!$A$12:$A$14,0))*INDEX('Stats base'!F$18:F$22,MATCH($J99,'Stats base'!$A$18:$A$22,0))*IFERROR(INDEX(Variación!G$3:G$228,MATCH($G99,Variación!$A$3:$A$228,0)),1),0)</f>
        <v>108</v>
      </c>
      <c r="P99" s="21">
        <f>MIN('Stats base'!$G$30,ROUND(INDEX('Stats base'!G$5:G$8,MATCH($C99,'Stats base'!$A$5:$A$8,0))*INDEX('Stats base'!G$12:G$14,MATCH($E99,'Stats base'!$A$12:$A$14,0))*INDEX('Stats base'!G$18:G$22,MATCH($J99,'Stats base'!$A$18:$A$22,0))*IFERROR(INDEX(Variación!H$3:H$228,MATCH($G99,Variación!$A$3:$A$228,0)),1),3))</f>
        <v>4.1000000000000002E-2</v>
      </c>
    </row>
    <row r="100" spans="1:16" ht="34.5" hidden="1" customHeight="1" x14ac:dyDescent="0.25">
      <c r="A100" s="15" t="s">
        <v>344</v>
      </c>
      <c r="B100" s="15" t="s">
        <v>345</v>
      </c>
      <c r="C100" s="16" t="s">
        <v>68</v>
      </c>
      <c r="D100" s="17" t="s">
        <v>29</v>
      </c>
      <c r="E100" s="16" t="s">
        <v>30</v>
      </c>
      <c r="F100" s="16" t="s">
        <v>54</v>
      </c>
      <c r="G100" s="18" t="s">
        <v>346</v>
      </c>
      <c r="H100" s="18"/>
      <c r="I100" s="18" t="s">
        <v>304</v>
      </c>
      <c r="J100" s="18" t="s">
        <v>50</v>
      </c>
      <c r="K100" s="19">
        <f>ROUND(INDEX('Stats base'!B$5:B$8,MATCH($C100,'Stats base'!$A$5:$A$8,0))*INDEX('Stats base'!B$12:B$14,MATCH($E100,'Stats base'!$A$12:$A$14,0))*INDEX('Stats base'!B$18:B$22,MATCH($J100,'Stats base'!$A$18:$A$22,0))*IFERROR(INDEX(Variación!C$3:C$228,MATCH($G100,Variación!$A$3:$A$228,0)),1),0)</f>
        <v>84</v>
      </c>
      <c r="L100" s="20">
        <f>ROUND(INDEX('Stats base'!C$5:C$8,MATCH($C100,'Stats base'!$A$5:$A$8,0))*INDEX('Stats base'!C$12:C$14,MATCH($E100,'Stats base'!$A$12:$A$14,0))*INDEX('Stats base'!C$18:C$22,MATCH($J100,'Stats base'!$A$18:$A$22,0))*IFERROR(INDEX(Variación!D$3:D$228,MATCH($G100,Variación!$A$3:$A$228,0)),1),1)</f>
        <v>15.5</v>
      </c>
      <c r="M100" s="20">
        <f>ROUND(INDEX('Stats base'!D$5:D$8,MATCH($C100,'Stats base'!$A$5:$A$8,0))*INDEX('Stats base'!D$12:D$14,MATCH($E100,'Stats base'!$A$12:$A$14,0))*INDEX('Stats base'!D$18:D$22,MATCH($J100,'Stats base'!$A$18:$A$22,0))*IFERROR(INDEX(Variación!E$3:E$228,MATCH($G100,Variación!$A$3:$A$228,0)),1),1)</f>
        <v>25.8</v>
      </c>
      <c r="N100" s="20">
        <f>ROUND(INDEX('Stats base'!E$5:E$8,MATCH($C100,'Stats base'!$A$5:$A$8,0))*INDEX('Stats base'!E$12:E$14,MATCH($E100,'Stats base'!$A$12:$A$14,0))*INDEX('Stats base'!E$18:E$22,MATCH($J100,'Stats base'!$A$18:$A$22,0))*IFERROR(INDEX(Variación!F$3:F$228,MATCH($G100,Variación!$A$3:$A$228,0)),1),1)</f>
        <v>3.1</v>
      </c>
      <c r="O100" s="19">
        <f>ROUND(INDEX('Stats base'!F$5:F$8,MATCH($C100,'Stats base'!$A$5:$A$8,0))*INDEX('Stats base'!F$12:F$14,MATCH($E100,'Stats base'!$A$12:$A$14,0))*INDEX('Stats base'!F$18:F$22,MATCH($J100,'Stats base'!$A$18:$A$22,0))*IFERROR(INDEX(Variación!G$3:G$228,MATCH($G100,Variación!$A$3:$A$228,0)),1),0)</f>
        <v>96</v>
      </c>
      <c r="P100" s="21">
        <f>MIN('Stats base'!$G$30,ROUND(INDEX('Stats base'!G$5:G$8,MATCH($C100,'Stats base'!$A$5:$A$8,0))*INDEX('Stats base'!G$12:G$14,MATCH($E100,'Stats base'!$A$12:$A$14,0))*INDEX('Stats base'!G$18:G$22,MATCH($J100,'Stats base'!$A$18:$A$22,0))*IFERROR(INDEX(Variación!H$3:H$228,MATCH($G100,Variación!$A$3:$A$228,0)),1),3))</f>
        <v>2.4E-2</v>
      </c>
    </row>
    <row r="101" spans="1:16" ht="34.5" hidden="1" customHeight="1" x14ac:dyDescent="0.25">
      <c r="A101" s="15" t="s">
        <v>347</v>
      </c>
      <c r="B101" s="15" t="s">
        <v>348</v>
      </c>
      <c r="C101" s="16" t="s">
        <v>37</v>
      </c>
      <c r="D101" s="17" t="s">
        <v>29</v>
      </c>
      <c r="E101" s="16" t="s">
        <v>42</v>
      </c>
      <c r="F101" s="16" t="s">
        <v>48</v>
      </c>
      <c r="G101" s="18" t="s">
        <v>349</v>
      </c>
      <c r="H101" s="18"/>
      <c r="I101" s="18" t="s">
        <v>304</v>
      </c>
      <c r="J101" s="18" t="s">
        <v>50</v>
      </c>
      <c r="K101" s="19">
        <f>ROUND(INDEX('Stats base'!B$5:B$8,MATCH($C101,'Stats base'!$A$5:$A$8,0))*INDEX('Stats base'!B$12:B$14,MATCH($E101,'Stats base'!$A$12:$A$14,0))*INDEX('Stats base'!B$18:B$22,MATCH($J101,'Stats base'!$A$18:$A$22,0))*IFERROR(INDEX(Variación!C$3:C$228,MATCH($G101,Variación!$A$3:$A$228,0)),1),0)</f>
        <v>165</v>
      </c>
      <c r="L101" s="20">
        <f>ROUND(INDEX('Stats base'!C$5:C$8,MATCH($C101,'Stats base'!$A$5:$A$8,0))*INDEX('Stats base'!C$12:C$14,MATCH($E101,'Stats base'!$A$12:$A$14,0))*INDEX('Stats base'!C$18:C$22,MATCH($J101,'Stats base'!$A$18:$A$22,0))*IFERROR(INDEX(Variación!D$3:D$228,MATCH($G101,Variación!$A$3:$A$228,0)),1),1)</f>
        <v>8.4</v>
      </c>
      <c r="M101" s="20">
        <f>ROUND(INDEX('Stats base'!D$5:D$8,MATCH($C101,'Stats base'!$A$5:$A$8,0))*INDEX('Stats base'!D$12:D$14,MATCH($E101,'Stats base'!$A$12:$A$14,0))*INDEX('Stats base'!D$18:D$22,MATCH($J101,'Stats base'!$A$18:$A$22,0))*IFERROR(INDEX(Variación!E$3:E$228,MATCH($G101,Variación!$A$3:$A$228,0)),1),1)</f>
        <v>13.8</v>
      </c>
      <c r="N101" s="20">
        <f>ROUND(INDEX('Stats base'!E$5:E$8,MATCH($C101,'Stats base'!$A$5:$A$8,0))*INDEX('Stats base'!E$12:E$14,MATCH($E101,'Stats base'!$A$12:$A$14,0))*INDEX('Stats base'!E$18:E$22,MATCH($J101,'Stats base'!$A$18:$A$22,0))*IFERROR(INDEX(Variación!F$3:F$228,MATCH($G101,Variación!$A$3:$A$228,0)),1),1)</f>
        <v>11.1</v>
      </c>
      <c r="O101" s="19">
        <f>ROUND(INDEX('Stats base'!F$5:F$8,MATCH($C101,'Stats base'!$A$5:$A$8,0))*INDEX('Stats base'!F$12:F$14,MATCH($E101,'Stats base'!$A$12:$A$14,0))*INDEX('Stats base'!F$18:F$22,MATCH($J101,'Stats base'!$A$18:$A$22,0))*IFERROR(INDEX(Variación!G$3:G$228,MATCH($G101,Variación!$A$3:$A$228,0)),1),0)</f>
        <v>73</v>
      </c>
      <c r="P101" s="21">
        <f>MIN('Stats base'!$G$30,ROUND(INDEX('Stats base'!G$5:G$8,MATCH($C101,'Stats base'!$A$5:$A$8,0))*INDEX('Stats base'!G$12:G$14,MATCH($E101,'Stats base'!$A$12:$A$14,0))*INDEX('Stats base'!G$18:G$22,MATCH($J101,'Stats base'!$A$18:$A$22,0))*IFERROR(INDEX(Variación!H$3:H$228,MATCH($G101,Variación!$A$3:$A$228,0)),1),3))</f>
        <v>1.0999999999999999E-2</v>
      </c>
    </row>
    <row r="102" spans="1:16" ht="34.5" hidden="1" customHeight="1" x14ac:dyDescent="0.25">
      <c r="A102" s="15" t="s">
        <v>350</v>
      </c>
      <c r="B102" s="15" t="s">
        <v>351</v>
      </c>
      <c r="C102" s="16" t="s">
        <v>28</v>
      </c>
      <c r="D102" s="17" t="s">
        <v>29</v>
      </c>
      <c r="E102" s="16" t="s">
        <v>42</v>
      </c>
      <c r="F102" s="16" t="s">
        <v>43</v>
      </c>
      <c r="G102" s="18" t="s">
        <v>352</v>
      </c>
      <c r="H102" s="18"/>
      <c r="I102" s="18" t="s">
        <v>353</v>
      </c>
      <c r="J102" s="18" t="s">
        <v>45</v>
      </c>
      <c r="K102" s="19">
        <f>ROUND(INDEX('Stats base'!B$5:B$8,MATCH($C102,'Stats base'!$A$5:$A$8,0))*INDEX('Stats base'!B$12:B$14,MATCH($E102,'Stats base'!$A$12:$A$14,0))*INDEX('Stats base'!B$18:B$22,MATCH($J102,'Stats base'!$A$18:$A$22,0))*IFERROR(INDEX(Variación!C$3:C$228,MATCH($G102,Variación!$A$3:$A$228,0)),1),0)</f>
        <v>180</v>
      </c>
      <c r="L102" s="20">
        <f>ROUND(INDEX('Stats base'!C$5:C$8,MATCH($C102,'Stats base'!$A$5:$A$8,0))*INDEX('Stats base'!C$12:C$14,MATCH($E102,'Stats base'!$A$12:$A$14,0))*INDEX('Stats base'!C$18:C$22,MATCH($J102,'Stats base'!$A$18:$A$22,0))*IFERROR(INDEX(Variación!D$3:D$228,MATCH($G102,Variación!$A$3:$A$228,0)),1),1)</f>
        <v>10.4</v>
      </c>
      <c r="M102" s="20">
        <f>ROUND(INDEX('Stats base'!D$5:D$8,MATCH($C102,'Stats base'!$A$5:$A$8,0))*INDEX('Stats base'!D$12:D$14,MATCH($E102,'Stats base'!$A$12:$A$14,0))*INDEX('Stats base'!D$18:D$22,MATCH($J102,'Stats base'!$A$18:$A$22,0))*IFERROR(INDEX(Variación!E$3:E$228,MATCH($G102,Variación!$A$3:$A$228,0)),1),1)</f>
        <v>24.7</v>
      </c>
      <c r="N102" s="20">
        <f>ROUND(INDEX('Stats base'!E$5:E$8,MATCH($C102,'Stats base'!$A$5:$A$8,0))*INDEX('Stats base'!E$12:E$14,MATCH($E102,'Stats base'!$A$12:$A$14,0))*INDEX('Stats base'!E$18:E$22,MATCH($J102,'Stats base'!$A$18:$A$22,0))*IFERROR(INDEX(Variación!F$3:F$228,MATCH($G102,Variación!$A$3:$A$228,0)),1),1)</f>
        <v>11.2</v>
      </c>
      <c r="O102" s="19">
        <f>ROUND(INDEX('Stats base'!F$5:F$8,MATCH($C102,'Stats base'!$A$5:$A$8,0))*INDEX('Stats base'!F$12:F$14,MATCH($E102,'Stats base'!$A$12:$A$14,0))*INDEX('Stats base'!F$18:F$22,MATCH($J102,'Stats base'!$A$18:$A$22,0))*IFERROR(INDEX(Variación!G$3:G$228,MATCH($G102,Variación!$A$3:$A$228,0)),1),0)</f>
        <v>85</v>
      </c>
      <c r="P102" s="21">
        <f>MIN('Stats base'!$G$30,ROUND(INDEX('Stats base'!G$5:G$8,MATCH($C102,'Stats base'!$A$5:$A$8,0))*INDEX('Stats base'!G$12:G$14,MATCH($E102,'Stats base'!$A$12:$A$14,0))*INDEX('Stats base'!G$18:G$22,MATCH($J102,'Stats base'!$A$18:$A$22,0))*IFERROR(INDEX(Variación!H$3:H$228,MATCH($G102,Variación!$A$3:$A$228,0)),1),3))</f>
        <v>1.4E-2</v>
      </c>
    </row>
    <row r="103" spans="1:16" ht="34.5" customHeight="1" x14ac:dyDescent="0.25">
      <c r="A103" s="15" t="s">
        <v>354</v>
      </c>
      <c r="B103" s="15" t="s">
        <v>355</v>
      </c>
      <c r="C103" s="16" t="s">
        <v>37</v>
      </c>
      <c r="D103" s="17" t="s">
        <v>29</v>
      </c>
      <c r="E103" s="16" t="s">
        <v>30</v>
      </c>
      <c r="F103" s="16" t="s">
        <v>54</v>
      </c>
      <c r="G103" s="18" t="s">
        <v>356</v>
      </c>
      <c r="H103" s="18"/>
      <c r="I103" s="18" t="s">
        <v>353</v>
      </c>
      <c r="J103" s="18" t="s">
        <v>85</v>
      </c>
      <c r="K103" s="19">
        <f>ROUND(INDEX('Stats base'!B$5:B$8,MATCH($C103,'Stats base'!$A$5:$A$8,0))*INDEX('Stats base'!B$12:B$14,MATCH($E103,'Stats base'!$A$12:$A$14,0))*INDEX('Stats base'!B$18:B$22,MATCH($J103,'Stats base'!$A$18:$A$22,0))*IFERROR(INDEX(Variación!C$3:C$228,MATCH($G103,Variación!$A$3:$A$228,0)),1),0)</f>
        <v>133</v>
      </c>
      <c r="L103" s="20">
        <f>ROUND(INDEX('Stats base'!C$5:C$8,MATCH($C103,'Stats base'!$A$5:$A$8,0))*INDEX('Stats base'!C$12:C$14,MATCH($E103,'Stats base'!$A$12:$A$14,0))*INDEX('Stats base'!C$18:C$22,MATCH($J103,'Stats base'!$A$18:$A$22,0))*IFERROR(INDEX(Variación!D$3:D$228,MATCH($G103,Variación!$A$3:$A$228,0)),1),1)</f>
        <v>6.9</v>
      </c>
      <c r="M103" s="20">
        <f>ROUND(INDEX('Stats base'!D$5:D$8,MATCH($C103,'Stats base'!$A$5:$A$8,0))*INDEX('Stats base'!D$12:D$14,MATCH($E103,'Stats base'!$A$12:$A$14,0))*INDEX('Stats base'!D$18:D$22,MATCH($J103,'Stats base'!$A$18:$A$22,0))*IFERROR(INDEX(Variación!E$3:E$228,MATCH($G103,Variación!$A$3:$A$228,0)),1),1)</f>
        <v>12.1</v>
      </c>
      <c r="N103" s="20">
        <f>ROUND(INDEX('Stats base'!E$5:E$8,MATCH($C103,'Stats base'!$A$5:$A$8,0))*INDEX('Stats base'!E$12:E$14,MATCH($E103,'Stats base'!$A$12:$A$14,0))*INDEX('Stats base'!E$18:E$22,MATCH($J103,'Stats base'!$A$18:$A$22,0))*IFERROR(INDEX(Variación!F$3:F$228,MATCH($G103,Variación!$A$3:$A$228,0)),1),1)</f>
        <v>8.1999999999999993</v>
      </c>
      <c r="O103" s="19">
        <f>ROUND(INDEX('Stats base'!F$5:F$8,MATCH($C103,'Stats base'!$A$5:$A$8,0))*INDEX('Stats base'!F$12:F$14,MATCH($E103,'Stats base'!$A$12:$A$14,0))*INDEX('Stats base'!F$18:F$22,MATCH($J103,'Stats base'!$A$18:$A$22,0))*IFERROR(INDEX(Variación!G$3:G$228,MATCH($G103,Variación!$A$3:$A$228,0)),1),0)</f>
        <v>98</v>
      </c>
      <c r="P103" s="21">
        <f>MIN('Stats base'!$G$30,ROUND(INDEX('Stats base'!G$5:G$8,MATCH($C103,'Stats base'!$A$5:$A$8,0))*INDEX('Stats base'!G$12:G$14,MATCH($E103,'Stats base'!$A$12:$A$14,0))*INDEX('Stats base'!G$18:G$22,MATCH($J103,'Stats base'!$A$18:$A$22,0))*IFERROR(INDEX(Variación!H$3:H$228,MATCH($G103,Variación!$A$3:$A$228,0)),1),3))</f>
        <v>1.4E-2</v>
      </c>
    </row>
    <row r="104" spans="1:16" ht="34.5" customHeight="1" x14ac:dyDescent="0.25">
      <c r="A104" s="15" t="s">
        <v>357</v>
      </c>
      <c r="B104" s="15" t="s">
        <v>358</v>
      </c>
      <c r="C104" s="16" t="s">
        <v>58</v>
      </c>
      <c r="D104" s="17" t="s">
        <v>29</v>
      </c>
      <c r="E104" s="16" t="s">
        <v>30</v>
      </c>
      <c r="F104" s="16" t="s">
        <v>48</v>
      </c>
      <c r="G104" s="18" t="s">
        <v>359</v>
      </c>
      <c r="H104" s="18"/>
      <c r="I104" s="18" t="s">
        <v>353</v>
      </c>
      <c r="J104" s="18" t="s">
        <v>85</v>
      </c>
      <c r="K104" s="19">
        <f>ROUND(INDEX('Stats base'!B$5:B$8,MATCH($C104,'Stats base'!$A$5:$A$8,0))*INDEX('Stats base'!B$12:B$14,MATCH($E104,'Stats base'!$A$12:$A$14,0))*INDEX('Stats base'!B$18:B$22,MATCH($J104,'Stats base'!$A$18:$A$22,0))*IFERROR(INDEX(Variación!C$3:C$228,MATCH($G104,Variación!$A$3:$A$228,0)),1),0)</f>
        <v>102</v>
      </c>
      <c r="L104" s="20">
        <f>ROUND(INDEX('Stats base'!C$5:C$8,MATCH($C104,'Stats base'!$A$5:$A$8,0))*INDEX('Stats base'!C$12:C$14,MATCH($E104,'Stats base'!$A$12:$A$14,0))*INDEX('Stats base'!C$18:C$22,MATCH($J104,'Stats base'!$A$18:$A$22,0))*IFERROR(INDEX(Variación!D$3:D$228,MATCH($G104,Variación!$A$3:$A$228,0)),1),1)</f>
        <v>9.9</v>
      </c>
      <c r="M104" s="20">
        <f>ROUND(INDEX('Stats base'!D$5:D$8,MATCH($C104,'Stats base'!$A$5:$A$8,0))*INDEX('Stats base'!D$12:D$14,MATCH($E104,'Stats base'!$A$12:$A$14,0))*INDEX('Stats base'!D$18:D$22,MATCH($J104,'Stats base'!$A$18:$A$22,0))*IFERROR(INDEX(Variación!E$3:E$228,MATCH($G104,Variación!$A$3:$A$228,0)),1),1)</f>
        <v>17.399999999999999</v>
      </c>
      <c r="N104" s="20">
        <f>ROUND(INDEX('Stats base'!E$5:E$8,MATCH($C104,'Stats base'!$A$5:$A$8,0))*INDEX('Stats base'!E$12:E$14,MATCH($E104,'Stats base'!$A$12:$A$14,0))*INDEX('Stats base'!E$18:E$22,MATCH($J104,'Stats base'!$A$18:$A$22,0))*IFERROR(INDEX(Variación!F$3:F$228,MATCH($G104,Variación!$A$3:$A$228,0)),1),1)</f>
        <v>4.5</v>
      </c>
      <c r="O104" s="19">
        <f>ROUND(INDEX('Stats base'!F$5:F$8,MATCH($C104,'Stats base'!$A$5:$A$8,0))*INDEX('Stats base'!F$12:F$14,MATCH($E104,'Stats base'!$A$12:$A$14,0))*INDEX('Stats base'!F$18:F$22,MATCH($J104,'Stats base'!$A$18:$A$22,0))*IFERROR(INDEX(Variación!G$3:G$228,MATCH($G104,Variación!$A$3:$A$228,0)),1),0)</f>
        <v>92</v>
      </c>
      <c r="P104" s="21">
        <f>MIN('Stats base'!$G$30,ROUND(INDEX('Stats base'!G$5:G$8,MATCH($C104,'Stats base'!$A$5:$A$8,0))*INDEX('Stats base'!G$12:G$14,MATCH($E104,'Stats base'!$A$12:$A$14,0))*INDEX('Stats base'!G$18:G$22,MATCH($J104,'Stats base'!$A$18:$A$22,0))*IFERROR(INDEX(Variación!H$3:H$228,MATCH($G104,Variación!$A$3:$A$228,0)),1),3))</f>
        <v>0.03</v>
      </c>
    </row>
    <row r="105" spans="1:16" ht="34.5" hidden="1" customHeight="1" x14ac:dyDescent="0.25">
      <c r="A105" s="15" t="s">
        <v>360</v>
      </c>
      <c r="B105" s="15" t="s">
        <v>361</v>
      </c>
      <c r="C105" s="16" t="s">
        <v>58</v>
      </c>
      <c r="D105" s="17" t="s">
        <v>29</v>
      </c>
      <c r="E105" s="16" t="s">
        <v>30</v>
      </c>
      <c r="F105" s="16" t="s">
        <v>54</v>
      </c>
      <c r="G105" s="18" t="s">
        <v>362</v>
      </c>
      <c r="H105" s="18"/>
      <c r="I105" s="18" t="s">
        <v>353</v>
      </c>
      <c r="J105" s="18" t="s">
        <v>70</v>
      </c>
      <c r="K105" s="19">
        <f>ROUND(INDEX('Stats base'!B$5:B$8,MATCH($C105,'Stats base'!$A$5:$A$8,0))*INDEX('Stats base'!B$12:B$14,MATCH($E105,'Stats base'!$A$12:$A$14,0))*INDEX('Stats base'!B$18:B$22,MATCH($J105,'Stats base'!$A$18:$A$22,0))*IFERROR(INDEX(Variación!C$3:C$228,MATCH($G105,Variación!$A$3:$A$228,0)),1),0)</f>
        <v>114</v>
      </c>
      <c r="L105" s="20">
        <f>ROUND(INDEX('Stats base'!C$5:C$8,MATCH($C105,'Stats base'!$A$5:$A$8,0))*INDEX('Stats base'!C$12:C$14,MATCH($E105,'Stats base'!$A$12:$A$14,0))*INDEX('Stats base'!C$18:C$22,MATCH($J105,'Stats base'!$A$18:$A$22,0))*IFERROR(INDEX(Variación!D$3:D$228,MATCH($G105,Variación!$A$3:$A$228,0)),1),1)</f>
        <v>11.8</v>
      </c>
      <c r="M105" s="20">
        <f>ROUND(INDEX('Stats base'!D$5:D$8,MATCH($C105,'Stats base'!$A$5:$A$8,0))*INDEX('Stats base'!D$12:D$14,MATCH($E105,'Stats base'!$A$12:$A$14,0))*INDEX('Stats base'!D$18:D$22,MATCH($J105,'Stats base'!$A$18:$A$22,0))*IFERROR(INDEX(Variación!E$3:E$228,MATCH($G105,Variación!$A$3:$A$228,0)),1),1)</f>
        <v>20.399999999999999</v>
      </c>
      <c r="N105" s="20">
        <f>ROUND(INDEX('Stats base'!E$5:E$8,MATCH($C105,'Stats base'!$A$5:$A$8,0))*INDEX('Stats base'!E$12:E$14,MATCH($E105,'Stats base'!$A$12:$A$14,0))*INDEX('Stats base'!E$18:E$22,MATCH($J105,'Stats base'!$A$18:$A$22,0))*IFERROR(INDEX(Variación!F$3:F$228,MATCH($G105,Variación!$A$3:$A$228,0)),1),1)</f>
        <v>5.3</v>
      </c>
      <c r="O105" s="19">
        <f>ROUND(INDEX('Stats base'!F$5:F$8,MATCH($C105,'Stats base'!$A$5:$A$8,0))*INDEX('Stats base'!F$12:F$14,MATCH($E105,'Stats base'!$A$12:$A$14,0))*INDEX('Stats base'!F$18:F$22,MATCH($J105,'Stats base'!$A$18:$A$22,0))*IFERROR(INDEX(Variación!G$3:G$228,MATCH($G105,Variación!$A$3:$A$228,0)),1),0)</f>
        <v>124</v>
      </c>
      <c r="P105" s="21">
        <f>MIN('Stats base'!$G$30,ROUND(INDEX('Stats base'!G$5:G$8,MATCH($C105,'Stats base'!$A$5:$A$8,0))*INDEX('Stats base'!G$12:G$14,MATCH($E105,'Stats base'!$A$12:$A$14,0))*INDEX('Stats base'!G$18:G$22,MATCH($J105,'Stats base'!$A$18:$A$22,0))*IFERROR(INDEX(Variación!H$3:H$228,MATCH($G105,Variación!$A$3:$A$228,0)),1),3))</f>
        <v>0.06</v>
      </c>
    </row>
    <row r="106" spans="1:16" ht="34.5" hidden="1" customHeight="1" x14ac:dyDescent="0.25">
      <c r="A106" s="15" t="s">
        <v>363</v>
      </c>
      <c r="B106" s="15" t="s">
        <v>364</v>
      </c>
      <c r="C106" s="16" t="s">
        <v>37</v>
      </c>
      <c r="D106" s="17" t="s">
        <v>29</v>
      </c>
      <c r="E106" s="16" t="s">
        <v>42</v>
      </c>
      <c r="F106" s="16" t="s">
        <v>43</v>
      </c>
      <c r="G106" s="18" t="s">
        <v>365</v>
      </c>
      <c r="H106" s="18"/>
      <c r="I106" s="18" t="s">
        <v>353</v>
      </c>
      <c r="J106" s="18" t="s">
        <v>70</v>
      </c>
      <c r="K106" s="19">
        <f>ROUND(INDEX('Stats base'!B$5:B$8,MATCH($C106,'Stats base'!$A$5:$A$8,0))*INDEX('Stats base'!B$12:B$14,MATCH($E106,'Stats base'!$A$12:$A$14,0))*INDEX('Stats base'!B$18:B$22,MATCH($J106,'Stats base'!$A$18:$A$22,0))*IFERROR(INDEX(Variación!C$3:C$228,MATCH($G106,Variación!$A$3:$A$228,0)),1),0)</f>
        <v>161</v>
      </c>
      <c r="L106" s="20">
        <f>ROUND(INDEX('Stats base'!C$5:C$8,MATCH($C106,'Stats base'!$A$5:$A$8,0))*INDEX('Stats base'!C$12:C$14,MATCH($E106,'Stats base'!$A$12:$A$14,0))*INDEX('Stats base'!C$18:C$22,MATCH($J106,'Stats base'!$A$18:$A$22,0))*IFERROR(INDEX(Variación!D$3:D$228,MATCH($G106,Variación!$A$3:$A$228,0)),1),1)</f>
        <v>8.1999999999999993</v>
      </c>
      <c r="M106" s="20">
        <f>ROUND(INDEX('Stats base'!D$5:D$8,MATCH($C106,'Stats base'!$A$5:$A$8,0))*INDEX('Stats base'!D$12:D$14,MATCH($E106,'Stats base'!$A$12:$A$14,0))*INDEX('Stats base'!D$18:D$22,MATCH($J106,'Stats base'!$A$18:$A$22,0))*IFERROR(INDEX(Variación!E$3:E$228,MATCH($G106,Variación!$A$3:$A$228,0)),1),1)</f>
        <v>14.3</v>
      </c>
      <c r="N106" s="20">
        <f>ROUND(INDEX('Stats base'!E$5:E$8,MATCH($C106,'Stats base'!$A$5:$A$8,0))*INDEX('Stats base'!E$12:E$14,MATCH($E106,'Stats base'!$A$12:$A$14,0))*INDEX('Stats base'!E$18:E$22,MATCH($J106,'Stats base'!$A$18:$A$22,0))*IFERROR(INDEX(Variación!F$3:F$228,MATCH($G106,Variación!$A$3:$A$228,0)),1),1)</f>
        <v>11.2</v>
      </c>
      <c r="O106" s="19">
        <f>ROUND(INDEX('Stats base'!F$5:F$8,MATCH($C106,'Stats base'!$A$5:$A$8,0))*INDEX('Stats base'!F$12:F$14,MATCH($E106,'Stats base'!$A$12:$A$14,0))*INDEX('Stats base'!F$18:F$22,MATCH($J106,'Stats base'!$A$18:$A$22,0))*IFERROR(INDEX(Variación!G$3:G$228,MATCH($G106,Variación!$A$3:$A$228,0)),1),0)</f>
        <v>88</v>
      </c>
      <c r="P106" s="21">
        <f>MIN('Stats base'!$G$30,ROUND(INDEX('Stats base'!G$5:G$8,MATCH($C106,'Stats base'!$A$5:$A$8,0))*INDEX('Stats base'!G$12:G$14,MATCH($E106,'Stats base'!$A$12:$A$14,0))*INDEX('Stats base'!G$18:G$22,MATCH($J106,'Stats base'!$A$18:$A$22,0))*IFERROR(INDEX(Variación!H$3:H$228,MATCH($G106,Variación!$A$3:$A$228,0)),1),3))</f>
        <v>1.4999999999999999E-2</v>
      </c>
    </row>
    <row r="107" spans="1:16" ht="34.5" customHeight="1" x14ac:dyDescent="0.25">
      <c r="A107" s="15" t="s">
        <v>366</v>
      </c>
      <c r="B107" s="15" t="s">
        <v>367</v>
      </c>
      <c r="C107" s="16" t="s">
        <v>68</v>
      </c>
      <c r="D107" s="17" t="s">
        <v>29</v>
      </c>
      <c r="E107" s="16" t="s">
        <v>30</v>
      </c>
      <c r="F107" s="16" t="s">
        <v>48</v>
      </c>
      <c r="G107" s="18" t="s">
        <v>368</v>
      </c>
      <c r="H107" s="18"/>
      <c r="I107" s="18" t="s">
        <v>353</v>
      </c>
      <c r="J107" s="18" t="s">
        <v>85</v>
      </c>
      <c r="K107" s="19">
        <f>ROUND(INDEX('Stats base'!B$5:B$8,MATCH($C107,'Stats base'!$A$5:$A$8,0))*INDEX('Stats base'!B$12:B$14,MATCH($E107,'Stats base'!$A$12:$A$14,0))*INDEX('Stats base'!B$18:B$22,MATCH($J107,'Stats base'!$A$18:$A$22,0))*IFERROR(INDEX(Variación!C$3:C$228,MATCH($G107,Variación!$A$3:$A$228,0)),1),0)</f>
        <v>74</v>
      </c>
      <c r="L107" s="20">
        <f>ROUND(INDEX('Stats base'!C$5:C$8,MATCH($C107,'Stats base'!$A$5:$A$8,0))*INDEX('Stats base'!C$12:C$14,MATCH($E107,'Stats base'!$A$12:$A$14,0))*INDEX('Stats base'!C$18:C$22,MATCH($J107,'Stats base'!$A$18:$A$22,0))*IFERROR(INDEX(Variación!D$3:D$228,MATCH($G107,Variación!$A$3:$A$228,0)),1),1)</f>
        <v>12.5</v>
      </c>
      <c r="M107" s="20">
        <f>ROUND(INDEX('Stats base'!D$5:D$8,MATCH($C107,'Stats base'!$A$5:$A$8,0))*INDEX('Stats base'!D$12:D$14,MATCH($E107,'Stats base'!$A$12:$A$14,0))*INDEX('Stats base'!D$18:D$22,MATCH($J107,'Stats base'!$A$18:$A$22,0))*IFERROR(INDEX(Variación!E$3:E$228,MATCH($G107,Variación!$A$3:$A$228,0)),1),1)</f>
        <v>21</v>
      </c>
      <c r="N107" s="20">
        <f>ROUND(INDEX('Stats base'!E$5:E$8,MATCH($C107,'Stats base'!$A$5:$A$8,0))*INDEX('Stats base'!E$12:E$14,MATCH($E107,'Stats base'!$A$12:$A$14,0))*INDEX('Stats base'!E$18:E$22,MATCH($J107,'Stats base'!$A$18:$A$22,0))*IFERROR(INDEX(Variación!F$3:F$228,MATCH($G107,Variación!$A$3:$A$228,0)),1),1)</f>
        <v>2.9</v>
      </c>
      <c r="O107" s="19">
        <f>ROUND(INDEX('Stats base'!F$5:F$8,MATCH($C107,'Stats base'!$A$5:$A$8,0))*INDEX('Stats base'!F$12:F$14,MATCH($E107,'Stats base'!$A$12:$A$14,0))*INDEX('Stats base'!F$18:F$22,MATCH($J107,'Stats base'!$A$18:$A$22,0))*IFERROR(INDEX(Variación!G$3:G$228,MATCH($G107,Variación!$A$3:$A$228,0)),1),0)</f>
        <v>94</v>
      </c>
      <c r="P107" s="21">
        <f>MIN('Stats base'!$G$30,ROUND(INDEX('Stats base'!G$5:G$8,MATCH($C107,'Stats base'!$A$5:$A$8,0))*INDEX('Stats base'!G$12:G$14,MATCH($E107,'Stats base'!$A$12:$A$14,0))*INDEX('Stats base'!G$18:G$22,MATCH($J107,'Stats base'!$A$18:$A$22,0))*IFERROR(INDEX(Variación!H$3:H$228,MATCH($G107,Variación!$A$3:$A$228,0)),1),3))</f>
        <v>1.7999999999999999E-2</v>
      </c>
    </row>
    <row r="108" spans="1:16" ht="34.5" customHeight="1" x14ac:dyDescent="0.25">
      <c r="A108" s="15" t="s">
        <v>369</v>
      </c>
      <c r="B108" s="15" t="s">
        <v>370</v>
      </c>
      <c r="C108" s="16" t="s">
        <v>68</v>
      </c>
      <c r="D108" s="17" t="s">
        <v>29</v>
      </c>
      <c r="E108" s="16" t="s">
        <v>30</v>
      </c>
      <c r="F108" s="16" t="s">
        <v>38</v>
      </c>
      <c r="G108" s="18" t="s">
        <v>371</v>
      </c>
      <c r="H108" s="18"/>
      <c r="I108" s="18" t="s">
        <v>353</v>
      </c>
      <c r="J108" s="18" t="s">
        <v>85</v>
      </c>
      <c r="K108" s="19">
        <f>ROUND(INDEX('Stats base'!B$5:B$8,MATCH($C108,'Stats base'!$A$5:$A$8,0))*INDEX('Stats base'!B$12:B$14,MATCH($E108,'Stats base'!$A$12:$A$14,0))*INDEX('Stats base'!B$18:B$22,MATCH($J108,'Stats base'!$A$18:$A$22,0))*IFERROR(INDEX(Variación!C$3:C$228,MATCH($G108,Variación!$A$3:$A$228,0)),1),0)</f>
        <v>74</v>
      </c>
      <c r="L108" s="20">
        <f>ROUND(INDEX('Stats base'!C$5:C$8,MATCH($C108,'Stats base'!$A$5:$A$8,0))*INDEX('Stats base'!C$12:C$14,MATCH($E108,'Stats base'!$A$12:$A$14,0))*INDEX('Stats base'!C$18:C$22,MATCH($J108,'Stats base'!$A$18:$A$22,0))*IFERROR(INDEX(Variación!D$3:D$228,MATCH($G108,Variación!$A$3:$A$228,0)),1),1)</f>
        <v>10.7</v>
      </c>
      <c r="M108" s="20">
        <f>ROUND(INDEX('Stats base'!D$5:D$8,MATCH($C108,'Stats base'!$A$5:$A$8,0))*INDEX('Stats base'!D$12:D$14,MATCH($E108,'Stats base'!$A$12:$A$14,0))*INDEX('Stats base'!D$18:D$22,MATCH($J108,'Stats base'!$A$18:$A$22,0))*IFERROR(INDEX(Variación!E$3:E$228,MATCH($G108,Variación!$A$3:$A$228,0)),1),1)</f>
        <v>18.399999999999999</v>
      </c>
      <c r="N108" s="20">
        <f>ROUND(INDEX('Stats base'!E$5:E$8,MATCH($C108,'Stats base'!$A$5:$A$8,0))*INDEX('Stats base'!E$12:E$14,MATCH($E108,'Stats base'!$A$12:$A$14,0))*INDEX('Stats base'!E$18:E$22,MATCH($J108,'Stats base'!$A$18:$A$22,0))*IFERROR(INDEX(Variación!F$3:F$228,MATCH($G108,Variación!$A$3:$A$228,0)),1),1)</f>
        <v>2.8</v>
      </c>
      <c r="O108" s="19">
        <f>ROUND(INDEX('Stats base'!F$5:F$8,MATCH($C108,'Stats base'!$A$5:$A$8,0))*INDEX('Stats base'!F$12:F$14,MATCH($E108,'Stats base'!$A$12:$A$14,0))*INDEX('Stats base'!F$18:F$22,MATCH($J108,'Stats base'!$A$18:$A$22,0))*IFERROR(INDEX(Variación!G$3:G$228,MATCH($G108,Variación!$A$3:$A$228,0)),1),0)</f>
        <v>114</v>
      </c>
      <c r="P108" s="21">
        <f>MIN('Stats base'!$G$30,ROUND(INDEX('Stats base'!G$5:G$8,MATCH($C108,'Stats base'!$A$5:$A$8,0))*INDEX('Stats base'!G$12:G$14,MATCH($E108,'Stats base'!$A$12:$A$14,0))*INDEX('Stats base'!G$18:G$22,MATCH($J108,'Stats base'!$A$18:$A$22,0))*IFERROR(INDEX(Variación!H$3:H$228,MATCH($G108,Variación!$A$3:$A$228,0)),1),3))</f>
        <v>2.3E-2</v>
      </c>
    </row>
    <row r="109" spans="1:16" ht="34.5" customHeight="1" x14ac:dyDescent="0.25">
      <c r="A109" s="15" t="s">
        <v>372</v>
      </c>
      <c r="B109" s="15" t="s">
        <v>373</v>
      </c>
      <c r="C109" s="16" t="s">
        <v>58</v>
      </c>
      <c r="D109" s="17" t="s">
        <v>29</v>
      </c>
      <c r="E109" s="16" t="s">
        <v>53</v>
      </c>
      <c r="F109" s="16" t="s">
        <v>38</v>
      </c>
      <c r="G109" s="18" t="s">
        <v>374</v>
      </c>
      <c r="H109" s="18"/>
      <c r="I109" s="18" t="s">
        <v>353</v>
      </c>
      <c r="J109" s="18" t="s">
        <v>85</v>
      </c>
      <c r="K109" s="19">
        <f>ROUND(INDEX('Stats base'!B$5:B$8,MATCH($C109,'Stats base'!$A$5:$A$8,0))*INDEX('Stats base'!B$12:B$14,MATCH($E109,'Stats base'!$A$12:$A$14,0))*INDEX('Stats base'!B$18:B$22,MATCH($J109,'Stats base'!$A$18:$A$22,0))*IFERROR(INDEX(Variación!C$3:C$228,MATCH($G109,Variación!$A$3:$A$228,0)),1),0)</f>
        <v>80</v>
      </c>
      <c r="L109" s="20">
        <f>ROUND(INDEX('Stats base'!C$5:C$8,MATCH($C109,'Stats base'!$A$5:$A$8,0))*INDEX('Stats base'!C$12:C$14,MATCH($E109,'Stats base'!$A$12:$A$14,0))*INDEX('Stats base'!C$18:C$22,MATCH($J109,'Stats base'!$A$18:$A$22,0))*IFERROR(INDEX(Variación!D$3:D$228,MATCH($G109,Variación!$A$3:$A$228,0)),1),1)</f>
        <v>9.4</v>
      </c>
      <c r="M109" s="20">
        <f>ROUND(INDEX('Stats base'!D$5:D$8,MATCH($C109,'Stats base'!$A$5:$A$8,0))*INDEX('Stats base'!D$12:D$14,MATCH($E109,'Stats base'!$A$12:$A$14,0))*INDEX('Stats base'!D$18:D$22,MATCH($J109,'Stats base'!$A$18:$A$22,0))*IFERROR(INDEX(Variación!E$3:E$228,MATCH($G109,Variación!$A$3:$A$228,0)),1),1)</f>
        <v>16.899999999999999</v>
      </c>
      <c r="N109" s="20">
        <f>ROUND(INDEX('Stats base'!E$5:E$8,MATCH($C109,'Stats base'!$A$5:$A$8,0))*INDEX('Stats base'!E$12:E$14,MATCH($E109,'Stats base'!$A$12:$A$14,0))*INDEX('Stats base'!E$18:E$22,MATCH($J109,'Stats base'!$A$18:$A$22,0))*IFERROR(INDEX(Variación!F$3:F$228,MATCH($G109,Variación!$A$3:$A$228,0)),1),1)</f>
        <v>3.5</v>
      </c>
      <c r="O109" s="19">
        <f>ROUND(INDEX('Stats base'!F$5:F$8,MATCH($C109,'Stats base'!$A$5:$A$8,0))*INDEX('Stats base'!F$12:F$14,MATCH($E109,'Stats base'!$A$12:$A$14,0))*INDEX('Stats base'!F$18:F$22,MATCH($J109,'Stats base'!$A$18:$A$22,0))*IFERROR(INDEX(Variación!G$3:G$228,MATCH($G109,Variación!$A$3:$A$228,0)),1),0)</f>
        <v>116</v>
      </c>
      <c r="P109" s="21">
        <f>MIN('Stats base'!$G$30,ROUND(INDEX('Stats base'!G$5:G$8,MATCH($C109,'Stats base'!$A$5:$A$8,0))*INDEX('Stats base'!G$12:G$14,MATCH($E109,'Stats base'!$A$12:$A$14,0))*INDEX('Stats base'!G$18:G$22,MATCH($J109,'Stats base'!$A$18:$A$22,0))*IFERROR(INDEX(Variación!H$3:H$228,MATCH($G109,Variación!$A$3:$A$228,0)),1),3))</f>
        <v>0.04</v>
      </c>
    </row>
    <row r="110" spans="1:16" ht="34.5" hidden="1" customHeight="1" x14ac:dyDescent="0.25">
      <c r="A110" s="15" t="s">
        <v>375</v>
      </c>
      <c r="B110" s="15" t="s">
        <v>376</v>
      </c>
      <c r="C110" s="16" t="s">
        <v>68</v>
      </c>
      <c r="D110" s="17" t="s">
        <v>29</v>
      </c>
      <c r="E110" s="16" t="s">
        <v>30</v>
      </c>
      <c r="F110" s="16" t="s">
        <v>54</v>
      </c>
      <c r="G110" s="18" t="s">
        <v>377</v>
      </c>
      <c r="H110" s="18"/>
      <c r="I110" s="18" t="s">
        <v>353</v>
      </c>
      <c r="J110" s="18" t="s">
        <v>70</v>
      </c>
      <c r="K110" s="19">
        <f>ROUND(INDEX('Stats base'!B$5:B$8,MATCH($C110,'Stats base'!$A$5:$A$8,0))*INDEX('Stats base'!B$12:B$14,MATCH($E110,'Stats base'!$A$12:$A$14,0))*INDEX('Stats base'!B$18:B$22,MATCH($J110,'Stats base'!$A$18:$A$22,0))*IFERROR(INDEX(Variación!C$3:C$228,MATCH($G110,Variación!$A$3:$A$228,0)),1),0)</f>
        <v>101</v>
      </c>
      <c r="L110" s="20">
        <f>ROUND(INDEX('Stats base'!C$5:C$8,MATCH($C110,'Stats base'!$A$5:$A$8,0))*INDEX('Stats base'!C$12:C$14,MATCH($E110,'Stats base'!$A$12:$A$14,0))*INDEX('Stats base'!C$18:C$22,MATCH($J110,'Stats base'!$A$18:$A$22,0))*IFERROR(INDEX(Variación!D$3:D$228,MATCH($G110,Variación!$A$3:$A$228,0)),1),1)</f>
        <v>14</v>
      </c>
      <c r="M110" s="20">
        <f>ROUND(INDEX('Stats base'!D$5:D$8,MATCH($C110,'Stats base'!$A$5:$A$8,0))*INDEX('Stats base'!D$12:D$14,MATCH($E110,'Stats base'!$A$12:$A$14,0))*INDEX('Stats base'!D$18:D$22,MATCH($J110,'Stats base'!$A$18:$A$22,0))*IFERROR(INDEX(Variación!E$3:E$228,MATCH($G110,Variación!$A$3:$A$228,0)),1),1)</f>
        <v>23</v>
      </c>
      <c r="N110" s="20">
        <f>ROUND(INDEX('Stats base'!E$5:E$8,MATCH($C110,'Stats base'!$A$5:$A$8,0))*INDEX('Stats base'!E$12:E$14,MATCH($E110,'Stats base'!$A$12:$A$14,0))*INDEX('Stats base'!E$18:E$22,MATCH($J110,'Stats base'!$A$18:$A$22,0))*IFERROR(INDEX(Variación!F$3:F$228,MATCH($G110,Variación!$A$3:$A$228,0)),1),1)</f>
        <v>3.9</v>
      </c>
      <c r="O110" s="19">
        <f>ROUND(INDEX('Stats base'!F$5:F$8,MATCH($C110,'Stats base'!$A$5:$A$8,0))*INDEX('Stats base'!F$12:F$14,MATCH($E110,'Stats base'!$A$12:$A$14,0))*INDEX('Stats base'!F$18:F$22,MATCH($J110,'Stats base'!$A$18:$A$22,0))*IFERROR(INDEX(Variación!G$3:G$228,MATCH($G110,Variación!$A$3:$A$228,0)),1),0)</f>
        <v>101</v>
      </c>
      <c r="P110" s="21">
        <f>MIN('Stats base'!$G$30,ROUND(INDEX('Stats base'!G$5:G$8,MATCH($C110,'Stats base'!$A$5:$A$8,0))*INDEX('Stats base'!G$12:G$14,MATCH($E110,'Stats base'!$A$12:$A$14,0))*INDEX('Stats base'!G$18:G$22,MATCH($J110,'Stats base'!$A$18:$A$22,0))*IFERROR(INDEX(Variación!H$3:H$228,MATCH($G110,Variación!$A$3:$A$228,0)),1),3))</f>
        <v>2.9000000000000001E-2</v>
      </c>
    </row>
    <row r="111" spans="1:16" ht="34.5" hidden="1" customHeight="1" x14ac:dyDescent="0.25">
      <c r="A111" s="15" t="s">
        <v>378</v>
      </c>
      <c r="B111" s="15" t="s">
        <v>379</v>
      </c>
      <c r="C111" s="16" t="s">
        <v>68</v>
      </c>
      <c r="D111" s="17" t="s">
        <v>29</v>
      </c>
      <c r="E111" s="16" t="s">
        <v>30</v>
      </c>
      <c r="F111" s="16" t="s">
        <v>38</v>
      </c>
      <c r="G111" s="18" t="s">
        <v>380</v>
      </c>
      <c r="H111" s="18"/>
      <c r="I111" s="18" t="s">
        <v>353</v>
      </c>
      <c r="J111" s="18" t="s">
        <v>70</v>
      </c>
      <c r="K111" s="19">
        <f>ROUND(INDEX('Stats base'!B$5:B$8,MATCH($C111,'Stats base'!$A$5:$A$8,0))*INDEX('Stats base'!B$12:B$14,MATCH($E111,'Stats base'!$A$12:$A$14,0))*INDEX('Stats base'!B$18:B$22,MATCH($J111,'Stats base'!$A$18:$A$22,0))*IFERROR(INDEX(Variación!C$3:C$228,MATCH($G111,Variación!$A$3:$A$228,0)),1),0)</f>
        <v>93</v>
      </c>
      <c r="L111" s="20">
        <f>ROUND(INDEX('Stats base'!C$5:C$8,MATCH($C111,'Stats base'!$A$5:$A$8,0))*INDEX('Stats base'!C$12:C$14,MATCH($E111,'Stats base'!$A$12:$A$14,0))*INDEX('Stats base'!C$18:C$22,MATCH($J111,'Stats base'!$A$18:$A$22,0))*IFERROR(INDEX(Variación!D$3:D$228,MATCH($G111,Variación!$A$3:$A$228,0)),1),1)</f>
        <v>15.5</v>
      </c>
      <c r="M111" s="20">
        <f>ROUND(INDEX('Stats base'!D$5:D$8,MATCH($C111,'Stats base'!$A$5:$A$8,0))*INDEX('Stats base'!D$12:D$14,MATCH($E111,'Stats base'!$A$12:$A$14,0))*INDEX('Stats base'!D$18:D$22,MATCH($J111,'Stats base'!$A$18:$A$22,0))*IFERROR(INDEX(Variación!E$3:E$228,MATCH($G111,Variación!$A$3:$A$228,0)),1),1)</f>
        <v>25.8</v>
      </c>
      <c r="N111" s="20">
        <f>ROUND(INDEX('Stats base'!E$5:E$8,MATCH($C111,'Stats base'!$A$5:$A$8,0))*INDEX('Stats base'!E$12:E$14,MATCH($E111,'Stats base'!$A$12:$A$14,0))*INDEX('Stats base'!E$18:E$22,MATCH($J111,'Stats base'!$A$18:$A$22,0))*IFERROR(INDEX(Variación!F$3:F$228,MATCH($G111,Variación!$A$3:$A$228,0)),1),1)</f>
        <v>3.4</v>
      </c>
      <c r="O111" s="19">
        <f>ROUND(INDEX('Stats base'!F$5:F$8,MATCH($C111,'Stats base'!$A$5:$A$8,0))*INDEX('Stats base'!F$12:F$14,MATCH($E111,'Stats base'!$A$12:$A$14,0))*INDEX('Stats base'!F$18:F$22,MATCH($J111,'Stats base'!$A$18:$A$22,0))*IFERROR(INDEX(Variación!G$3:G$228,MATCH($G111,Variación!$A$3:$A$228,0)),1),0)</f>
        <v>120</v>
      </c>
      <c r="P111" s="21">
        <f>MIN('Stats base'!$G$30,ROUND(INDEX('Stats base'!G$5:G$8,MATCH($C111,'Stats base'!$A$5:$A$8,0))*INDEX('Stats base'!G$12:G$14,MATCH($E111,'Stats base'!$A$12:$A$14,0))*INDEX('Stats base'!G$18:G$22,MATCH($J111,'Stats base'!$A$18:$A$22,0))*IFERROR(INDEX(Variación!H$3:H$228,MATCH($G111,Variación!$A$3:$A$228,0)),1),3))</f>
        <v>3.5000000000000003E-2</v>
      </c>
    </row>
    <row r="112" spans="1:16" ht="34.5" customHeight="1" x14ac:dyDescent="0.25">
      <c r="A112" s="15" t="s">
        <v>381</v>
      </c>
      <c r="B112" s="15" t="s">
        <v>382</v>
      </c>
      <c r="C112" s="16" t="s">
        <v>68</v>
      </c>
      <c r="D112" s="17" t="s">
        <v>29</v>
      </c>
      <c r="E112" s="16" t="s">
        <v>30</v>
      </c>
      <c r="F112" s="16" t="s">
        <v>48</v>
      </c>
      <c r="G112" s="18" t="s">
        <v>383</v>
      </c>
      <c r="H112" s="18"/>
      <c r="I112" s="18" t="s">
        <v>353</v>
      </c>
      <c r="J112" s="18" t="s">
        <v>85</v>
      </c>
      <c r="K112" s="19">
        <f>ROUND(INDEX('Stats base'!B$5:B$8,MATCH($C112,'Stats base'!$A$5:$A$8,0))*INDEX('Stats base'!B$12:B$14,MATCH($E112,'Stats base'!$A$12:$A$14,0))*INDEX('Stats base'!B$18:B$22,MATCH($J112,'Stats base'!$A$18:$A$22,0))*IFERROR(INDEX(Variación!C$3:C$228,MATCH($G112,Variación!$A$3:$A$228,0)),1),0)</f>
        <v>81</v>
      </c>
      <c r="L112" s="20">
        <f>ROUND(INDEX('Stats base'!C$5:C$8,MATCH($C112,'Stats base'!$A$5:$A$8,0))*INDEX('Stats base'!C$12:C$14,MATCH($E112,'Stats base'!$A$12:$A$14,0))*INDEX('Stats base'!C$18:C$22,MATCH($J112,'Stats base'!$A$18:$A$22,0))*IFERROR(INDEX(Variación!D$3:D$228,MATCH($G112,Variación!$A$3:$A$228,0)),1),1)</f>
        <v>13</v>
      </c>
      <c r="M112" s="20">
        <f>ROUND(INDEX('Stats base'!D$5:D$8,MATCH($C112,'Stats base'!$A$5:$A$8,0))*INDEX('Stats base'!D$12:D$14,MATCH($E112,'Stats base'!$A$12:$A$14,0))*INDEX('Stats base'!D$18:D$22,MATCH($J112,'Stats base'!$A$18:$A$22,0))*IFERROR(INDEX(Variación!E$3:E$228,MATCH($G112,Variación!$A$3:$A$228,0)),1),1)</f>
        <v>21.4</v>
      </c>
      <c r="N112" s="20">
        <f>ROUND(INDEX('Stats base'!E$5:E$8,MATCH($C112,'Stats base'!$A$5:$A$8,0))*INDEX('Stats base'!E$12:E$14,MATCH($E112,'Stats base'!$A$12:$A$14,0))*INDEX('Stats base'!E$18:E$22,MATCH($J112,'Stats base'!$A$18:$A$22,0))*IFERROR(INDEX(Variación!F$3:F$228,MATCH($G112,Variación!$A$3:$A$228,0)),1),1)</f>
        <v>3</v>
      </c>
      <c r="O112" s="19">
        <f>ROUND(INDEX('Stats base'!F$5:F$8,MATCH($C112,'Stats base'!$A$5:$A$8,0))*INDEX('Stats base'!F$12:F$14,MATCH($E112,'Stats base'!$A$12:$A$14,0))*INDEX('Stats base'!F$18:F$22,MATCH($J112,'Stats base'!$A$18:$A$22,0))*IFERROR(INDEX(Variación!G$3:G$228,MATCH($G112,Variación!$A$3:$A$228,0)),1),0)</f>
        <v>95</v>
      </c>
      <c r="P112" s="21">
        <f>MIN('Stats base'!$G$30,ROUND(INDEX('Stats base'!G$5:G$8,MATCH($C112,'Stats base'!$A$5:$A$8,0))*INDEX('Stats base'!G$12:G$14,MATCH($E112,'Stats base'!$A$12:$A$14,0))*INDEX('Stats base'!G$18:G$22,MATCH($J112,'Stats base'!$A$18:$A$22,0))*IFERROR(INDEX(Variación!H$3:H$228,MATCH($G112,Variación!$A$3:$A$228,0)),1),3))</f>
        <v>1.7999999999999999E-2</v>
      </c>
    </row>
    <row r="113" spans="1:16" ht="34.5" customHeight="1" x14ac:dyDescent="0.25">
      <c r="A113" s="15" t="s">
        <v>384</v>
      </c>
      <c r="B113" s="15" t="s">
        <v>385</v>
      </c>
      <c r="C113" s="16" t="s">
        <v>58</v>
      </c>
      <c r="D113" s="17" t="s">
        <v>29</v>
      </c>
      <c r="E113" s="16" t="s">
        <v>53</v>
      </c>
      <c r="F113" s="16" t="s">
        <v>38</v>
      </c>
      <c r="G113" s="18" t="s">
        <v>386</v>
      </c>
      <c r="H113" s="18"/>
      <c r="I113" s="18" t="s">
        <v>353</v>
      </c>
      <c r="J113" s="18" t="s">
        <v>85</v>
      </c>
      <c r="K113" s="19">
        <f>ROUND(INDEX('Stats base'!B$5:B$8,MATCH($C113,'Stats base'!$A$5:$A$8,0))*INDEX('Stats base'!B$12:B$14,MATCH($E113,'Stats base'!$A$12:$A$14,0))*INDEX('Stats base'!B$18:B$22,MATCH($J113,'Stats base'!$A$18:$A$22,0))*IFERROR(INDEX(Variación!C$3:C$228,MATCH($G113,Variación!$A$3:$A$228,0)),1),0)</f>
        <v>85</v>
      </c>
      <c r="L113" s="20">
        <f>ROUND(INDEX('Stats base'!C$5:C$8,MATCH($C113,'Stats base'!$A$5:$A$8,0))*INDEX('Stats base'!C$12:C$14,MATCH($E113,'Stats base'!$A$12:$A$14,0))*INDEX('Stats base'!C$18:C$22,MATCH($J113,'Stats base'!$A$18:$A$22,0))*IFERROR(INDEX(Variación!D$3:D$228,MATCH($G113,Variación!$A$3:$A$228,0)),1),1)</f>
        <v>8.6</v>
      </c>
      <c r="M113" s="20">
        <f>ROUND(INDEX('Stats base'!D$5:D$8,MATCH($C113,'Stats base'!$A$5:$A$8,0))*INDEX('Stats base'!D$12:D$14,MATCH($E113,'Stats base'!$A$12:$A$14,0))*INDEX('Stats base'!D$18:D$22,MATCH($J113,'Stats base'!$A$18:$A$22,0))*IFERROR(INDEX(Variación!E$3:E$228,MATCH($G113,Variación!$A$3:$A$228,0)),1),1)</f>
        <v>15</v>
      </c>
      <c r="N113" s="20">
        <f>ROUND(INDEX('Stats base'!E$5:E$8,MATCH($C113,'Stats base'!$A$5:$A$8,0))*INDEX('Stats base'!E$12:E$14,MATCH($E113,'Stats base'!$A$12:$A$14,0))*INDEX('Stats base'!E$18:E$22,MATCH($J113,'Stats base'!$A$18:$A$22,0))*IFERROR(INDEX(Variación!F$3:F$228,MATCH($G113,Variación!$A$3:$A$228,0)),1),1)</f>
        <v>3.6</v>
      </c>
      <c r="O113" s="19">
        <f>ROUND(INDEX('Stats base'!F$5:F$8,MATCH($C113,'Stats base'!$A$5:$A$8,0))*INDEX('Stats base'!F$12:F$14,MATCH($E113,'Stats base'!$A$12:$A$14,0))*INDEX('Stats base'!F$18:F$22,MATCH($J113,'Stats base'!$A$18:$A$22,0))*IFERROR(INDEX(Variación!G$3:G$228,MATCH($G113,Variación!$A$3:$A$228,0)),1),0)</f>
        <v>110</v>
      </c>
      <c r="P113" s="21">
        <f>MIN('Stats base'!$G$30,ROUND(INDEX('Stats base'!G$5:G$8,MATCH($C113,'Stats base'!$A$5:$A$8,0))*INDEX('Stats base'!G$12:G$14,MATCH($E113,'Stats base'!$A$12:$A$14,0))*INDEX('Stats base'!G$18:G$22,MATCH($J113,'Stats base'!$A$18:$A$22,0))*IFERROR(INDEX(Variación!H$3:H$228,MATCH($G113,Variación!$A$3:$A$228,0)),1),3))</f>
        <v>3.9E-2</v>
      </c>
    </row>
    <row r="114" spans="1:16" ht="34.5" customHeight="1" x14ac:dyDescent="0.25">
      <c r="A114" s="15" t="s">
        <v>387</v>
      </c>
      <c r="B114" s="15" t="s">
        <v>388</v>
      </c>
      <c r="C114" s="16" t="s">
        <v>37</v>
      </c>
      <c r="D114" s="17" t="s">
        <v>29</v>
      </c>
      <c r="E114" s="16" t="s">
        <v>42</v>
      </c>
      <c r="F114" s="16" t="s">
        <v>43</v>
      </c>
      <c r="G114" s="18" t="s">
        <v>389</v>
      </c>
      <c r="H114" s="18"/>
      <c r="I114" s="18" t="s">
        <v>353</v>
      </c>
      <c r="J114" s="18" t="s">
        <v>85</v>
      </c>
      <c r="K114" s="19">
        <f>ROUND(INDEX('Stats base'!B$5:B$8,MATCH($C114,'Stats base'!$A$5:$A$8,0))*INDEX('Stats base'!B$12:B$14,MATCH($E114,'Stats base'!$A$12:$A$14,0))*INDEX('Stats base'!B$18:B$22,MATCH($J114,'Stats base'!$A$18:$A$22,0))*IFERROR(INDEX(Variación!C$3:C$228,MATCH($G114,Variación!$A$3:$A$228,0)),1),0)</f>
        <v>131</v>
      </c>
      <c r="L114" s="20">
        <f>ROUND(INDEX('Stats base'!C$5:C$8,MATCH($C114,'Stats base'!$A$5:$A$8,0))*INDEX('Stats base'!C$12:C$14,MATCH($E114,'Stats base'!$A$12:$A$14,0))*INDEX('Stats base'!C$18:C$22,MATCH($J114,'Stats base'!$A$18:$A$22,0))*IFERROR(INDEX(Variación!D$3:D$228,MATCH($G114,Variación!$A$3:$A$228,0)),1),1)</f>
        <v>7.6</v>
      </c>
      <c r="M114" s="20">
        <f>ROUND(INDEX('Stats base'!D$5:D$8,MATCH($C114,'Stats base'!$A$5:$A$8,0))*INDEX('Stats base'!D$12:D$14,MATCH($E114,'Stats base'!$A$12:$A$14,0))*INDEX('Stats base'!D$18:D$22,MATCH($J114,'Stats base'!$A$18:$A$22,0))*IFERROR(INDEX(Variación!E$3:E$228,MATCH($G114,Variación!$A$3:$A$228,0)),1),1)</f>
        <v>13.4</v>
      </c>
      <c r="N114" s="20">
        <f>ROUND(INDEX('Stats base'!E$5:E$8,MATCH($C114,'Stats base'!$A$5:$A$8,0))*INDEX('Stats base'!E$12:E$14,MATCH($E114,'Stats base'!$A$12:$A$14,0))*INDEX('Stats base'!E$18:E$22,MATCH($J114,'Stats base'!$A$18:$A$22,0))*IFERROR(INDEX(Variación!F$3:F$228,MATCH($G114,Variación!$A$3:$A$228,0)),1),1)</f>
        <v>8.6</v>
      </c>
      <c r="O114" s="19">
        <f>ROUND(INDEX('Stats base'!F$5:F$8,MATCH($C114,'Stats base'!$A$5:$A$8,0))*INDEX('Stats base'!F$12:F$14,MATCH($E114,'Stats base'!$A$12:$A$14,0))*INDEX('Stats base'!F$18:F$22,MATCH($J114,'Stats base'!$A$18:$A$22,0))*IFERROR(INDEX(Variación!G$3:G$228,MATCH($G114,Variación!$A$3:$A$228,0)),1),0)</f>
        <v>78</v>
      </c>
      <c r="P114" s="21">
        <f>MIN('Stats base'!$G$30,ROUND(INDEX('Stats base'!G$5:G$8,MATCH($C114,'Stats base'!$A$5:$A$8,0))*INDEX('Stats base'!G$12:G$14,MATCH($E114,'Stats base'!$A$12:$A$14,0))*INDEX('Stats base'!G$18:G$22,MATCH($J114,'Stats base'!$A$18:$A$22,0))*IFERROR(INDEX(Variación!H$3:H$228,MATCH($G114,Variación!$A$3:$A$228,0)),1),3))</f>
        <v>0.01</v>
      </c>
    </row>
    <row r="115" spans="1:16" ht="34.5" customHeight="1" x14ac:dyDescent="0.25">
      <c r="A115" s="15" t="s">
        <v>390</v>
      </c>
      <c r="B115" s="15" t="s">
        <v>391</v>
      </c>
      <c r="C115" s="16" t="s">
        <v>28</v>
      </c>
      <c r="D115" s="17" t="s">
        <v>29</v>
      </c>
      <c r="E115" s="16" t="s">
        <v>30</v>
      </c>
      <c r="F115" s="16" t="s">
        <v>75</v>
      </c>
      <c r="G115" s="18" t="s">
        <v>392</v>
      </c>
      <c r="H115" s="18"/>
      <c r="I115" s="18" t="s">
        <v>353</v>
      </c>
      <c r="J115" s="18" t="s">
        <v>85</v>
      </c>
      <c r="K115" s="19">
        <f>ROUND(INDEX('Stats base'!B$5:B$8,MATCH($C115,'Stats base'!$A$5:$A$8,0))*INDEX('Stats base'!B$12:B$14,MATCH($E115,'Stats base'!$A$12:$A$14,0))*INDEX('Stats base'!B$18:B$22,MATCH($J115,'Stats base'!$A$18:$A$22,0))*IFERROR(INDEX(Variación!C$3:C$228,MATCH($G115,Variación!$A$3:$A$228,0)),1),0)</f>
        <v>106</v>
      </c>
      <c r="L115" s="20">
        <f>ROUND(INDEX('Stats base'!C$5:C$8,MATCH($C115,'Stats base'!$A$5:$A$8,0))*INDEX('Stats base'!C$12:C$14,MATCH($E115,'Stats base'!$A$12:$A$14,0))*INDEX('Stats base'!C$18:C$22,MATCH($J115,'Stats base'!$A$18:$A$22,0))*IFERROR(INDEX(Variación!D$3:D$228,MATCH($G115,Variación!$A$3:$A$228,0)),1),1)</f>
        <v>7.8</v>
      </c>
      <c r="M115" s="20">
        <f>ROUND(INDEX('Stats base'!D$5:D$8,MATCH($C115,'Stats base'!$A$5:$A$8,0))*INDEX('Stats base'!D$12:D$14,MATCH($E115,'Stats base'!$A$12:$A$14,0))*INDEX('Stats base'!D$18:D$22,MATCH($J115,'Stats base'!$A$18:$A$22,0))*IFERROR(INDEX(Variación!E$3:E$228,MATCH($G115,Variación!$A$3:$A$228,0)),1),1)</f>
        <v>16.7</v>
      </c>
      <c r="N115" s="20">
        <f>ROUND(INDEX('Stats base'!E$5:E$8,MATCH($C115,'Stats base'!$A$5:$A$8,0))*INDEX('Stats base'!E$12:E$14,MATCH($E115,'Stats base'!$A$12:$A$14,0))*INDEX('Stats base'!E$18:E$22,MATCH($J115,'Stats base'!$A$18:$A$22,0))*IFERROR(INDEX(Variación!F$3:F$228,MATCH($G115,Variación!$A$3:$A$228,0)),1),1)</f>
        <v>6.9</v>
      </c>
      <c r="O115" s="19">
        <f>ROUND(INDEX('Stats base'!F$5:F$8,MATCH($C115,'Stats base'!$A$5:$A$8,0))*INDEX('Stats base'!F$12:F$14,MATCH($E115,'Stats base'!$A$12:$A$14,0))*INDEX('Stats base'!F$18:F$22,MATCH($J115,'Stats base'!$A$18:$A$22,0))*IFERROR(INDEX(Variación!G$3:G$228,MATCH($G115,Variación!$A$3:$A$228,0)),1),0)</f>
        <v>90</v>
      </c>
      <c r="P115" s="21">
        <f>MIN('Stats base'!$G$30,ROUND(INDEX('Stats base'!G$5:G$8,MATCH($C115,'Stats base'!$A$5:$A$8,0))*INDEX('Stats base'!G$12:G$14,MATCH($E115,'Stats base'!$A$12:$A$14,0))*INDEX('Stats base'!G$18:G$22,MATCH($J115,'Stats base'!$A$18:$A$22,0))*IFERROR(INDEX(Variación!H$3:H$228,MATCH($G115,Variación!$A$3:$A$228,0)),1),3))</f>
        <v>8.0000000000000002E-3</v>
      </c>
    </row>
    <row r="116" spans="1:16" ht="34.5" customHeight="1" x14ac:dyDescent="0.25">
      <c r="A116" s="15" t="s">
        <v>393</v>
      </c>
      <c r="B116" s="15" t="s">
        <v>394</v>
      </c>
      <c r="C116" s="16" t="s">
        <v>37</v>
      </c>
      <c r="D116" s="17" t="s">
        <v>29</v>
      </c>
      <c r="E116" s="16" t="s">
        <v>53</v>
      </c>
      <c r="F116" s="16" t="s">
        <v>38</v>
      </c>
      <c r="G116" s="18" t="s">
        <v>395</v>
      </c>
      <c r="H116" s="18"/>
      <c r="I116" s="18" t="s">
        <v>353</v>
      </c>
      <c r="J116" s="18" t="s">
        <v>85</v>
      </c>
      <c r="K116" s="19">
        <f>ROUND(INDEX('Stats base'!B$5:B$8,MATCH($C116,'Stats base'!$A$5:$A$8,0))*INDEX('Stats base'!B$12:B$14,MATCH($E116,'Stats base'!$A$12:$A$14,0))*INDEX('Stats base'!B$18:B$22,MATCH($J116,'Stats base'!$A$18:$A$22,0))*IFERROR(INDEX(Variación!C$3:C$228,MATCH($G116,Variación!$A$3:$A$228,0)),1),0)</f>
        <v>126</v>
      </c>
      <c r="L116" s="20">
        <f>ROUND(INDEX('Stats base'!C$5:C$8,MATCH($C116,'Stats base'!$A$5:$A$8,0))*INDEX('Stats base'!C$12:C$14,MATCH($E116,'Stats base'!$A$12:$A$14,0))*INDEX('Stats base'!C$18:C$22,MATCH($J116,'Stats base'!$A$18:$A$22,0))*IFERROR(INDEX(Variación!D$3:D$228,MATCH($G116,Variación!$A$3:$A$228,0)),1),1)</f>
        <v>6.8</v>
      </c>
      <c r="M116" s="20">
        <f>ROUND(INDEX('Stats base'!D$5:D$8,MATCH($C116,'Stats base'!$A$5:$A$8,0))*INDEX('Stats base'!D$12:D$14,MATCH($E116,'Stats base'!$A$12:$A$14,0))*INDEX('Stats base'!D$18:D$22,MATCH($J116,'Stats base'!$A$18:$A$22,0))*IFERROR(INDEX(Variación!E$3:E$228,MATCH($G116,Variación!$A$3:$A$228,0)),1),1)</f>
        <v>11.9</v>
      </c>
      <c r="N116" s="20">
        <f>ROUND(INDEX('Stats base'!E$5:E$8,MATCH($C116,'Stats base'!$A$5:$A$8,0))*INDEX('Stats base'!E$12:E$14,MATCH($E116,'Stats base'!$A$12:$A$14,0))*INDEX('Stats base'!E$18:E$22,MATCH($J116,'Stats base'!$A$18:$A$22,0))*IFERROR(INDEX(Variación!F$3:F$228,MATCH($G116,Variación!$A$3:$A$228,0)),1),1)</f>
        <v>7.8</v>
      </c>
      <c r="O116" s="19">
        <f>ROUND(INDEX('Stats base'!F$5:F$8,MATCH($C116,'Stats base'!$A$5:$A$8,0))*INDEX('Stats base'!F$12:F$14,MATCH($E116,'Stats base'!$A$12:$A$14,0))*INDEX('Stats base'!F$18:F$22,MATCH($J116,'Stats base'!$A$18:$A$22,0))*IFERROR(INDEX(Variación!G$3:G$228,MATCH($G116,Variación!$A$3:$A$228,0)),1),0)</f>
        <v>96</v>
      </c>
      <c r="P116" s="21">
        <f>MIN('Stats base'!$G$30,ROUND(INDEX('Stats base'!G$5:G$8,MATCH($C116,'Stats base'!$A$5:$A$8,0))*INDEX('Stats base'!G$12:G$14,MATCH($E116,'Stats base'!$A$12:$A$14,0))*INDEX('Stats base'!G$18:G$22,MATCH($J116,'Stats base'!$A$18:$A$22,0))*IFERROR(INDEX(Variación!H$3:H$228,MATCH($G116,Variación!$A$3:$A$228,0)),1),3))</f>
        <v>1.4E-2</v>
      </c>
    </row>
    <row r="117" spans="1:16" ht="34.5" customHeight="1" x14ac:dyDescent="0.25">
      <c r="A117" s="15" t="s">
        <v>396</v>
      </c>
      <c r="B117" s="15" t="s">
        <v>397</v>
      </c>
      <c r="C117" s="16" t="s">
        <v>37</v>
      </c>
      <c r="D117" s="17" t="s">
        <v>29</v>
      </c>
      <c r="E117" s="16" t="s">
        <v>30</v>
      </c>
      <c r="F117" s="16" t="s">
        <v>48</v>
      </c>
      <c r="G117" s="18" t="s">
        <v>398</v>
      </c>
      <c r="H117" s="18"/>
      <c r="I117" s="18" t="s">
        <v>353</v>
      </c>
      <c r="J117" s="18" t="s">
        <v>85</v>
      </c>
      <c r="K117" s="19">
        <f>ROUND(INDEX('Stats base'!B$5:B$8,MATCH($C117,'Stats base'!$A$5:$A$8,0))*INDEX('Stats base'!B$12:B$14,MATCH($E117,'Stats base'!$A$12:$A$14,0))*INDEX('Stats base'!B$18:B$22,MATCH($J117,'Stats base'!$A$18:$A$22,0))*IFERROR(INDEX(Variación!C$3:C$228,MATCH($G117,Variación!$A$3:$A$228,0)),1),0)</f>
        <v>121</v>
      </c>
      <c r="L117" s="20">
        <f>ROUND(INDEX('Stats base'!C$5:C$8,MATCH($C117,'Stats base'!$A$5:$A$8,0))*INDEX('Stats base'!C$12:C$14,MATCH($E117,'Stats base'!$A$12:$A$14,0))*INDEX('Stats base'!C$18:C$22,MATCH($J117,'Stats base'!$A$18:$A$22,0))*IFERROR(INDEX(Variación!D$3:D$228,MATCH($G117,Variación!$A$3:$A$228,0)),1),1)</f>
        <v>6.7</v>
      </c>
      <c r="M117" s="20">
        <f>ROUND(INDEX('Stats base'!D$5:D$8,MATCH($C117,'Stats base'!$A$5:$A$8,0))*INDEX('Stats base'!D$12:D$14,MATCH($E117,'Stats base'!$A$12:$A$14,0))*INDEX('Stats base'!D$18:D$22,MATCH($J117,'Stats base'!$A$18:$A$22,0))*IFERROR(INDEX(Variación!E$3:E$228,MATCH($G117,Variación!$A$3:$A$228,0)),1),1)</f>
        <v>12.6</v>
      </c>
      <c r="N117" s="20">
        <f>ROUND(INDEX('Stats base'!E$5:E$8,MATCH($C117,'Stats base'!$A$5:$A$8,0))*INDEX('Stats base'!E$12:E$14,MATCH($E117,'Stats base'!$A$12:$A$14,0))*INDEX('Stats base'!E$18:E$22,MATCH($J117,'Stats base'!$A$18:$A$22,0))*IFERROR(INDEX(Variación!F$3:F$228,MATCH($G117,Variación!$A$3:$A$228,0)),1),1)</f>
        <v>8</v>
      </c>
      <c r="O117" s="19">
        <f>ROUND(INDEX('Stats base'!F$5:F$8,MATCH($C117,'Stats base'!$A$5:$A$8,0))*INDEX('Stats base'!F$12:F$14,MATCH($E117,'Stats base'!$A$12:$A$14,0))*INDEX('Stats base'!F$18:F$22,MATCH($J117,'Stats base'!$A$18:$A$22,0))*IFERROR(INDEX(Variación!G$3:G$228,MATCH($G117,Variación!$A$3:$A$228,0)),1),0)</f>
        <v>87</v>
      </c>
      <c r="P117" s="21">
        <f>MIN('Stats base'!$G$30,ROUND(INDEX('Stats base'!G$5:G$8,MATCH($C117,'Stats base'!$A$5:$A$8,0))*INDEX('Stats base'!G$12:G$14,MATCH($E117,'Stats base'!$A$12:$A$14,0))*INDEX('Stats base'!G$18:G$22,MATCH($J117,'Stats base'!$A$18:$A$22,0))*IFERROR(INDEX(Variación!H$3:H$228,MATCH($G117,Variación!$A$3:$A$228,0)),1),3))</f>
        <v>1.2E-2</v>
      </c>
    </row>
    <row r="118" spans="1:16" ht="34.5" hidden="1" customHeight="1" x14ac:dyDescent="0.25">
      <c r="A118" s="15" t="s">
        <v>399</v>
      </c>
      <c r="B118" s="15" t="s">
        <v>400</v>
      </c>
      <c r="C118" s="16" t="s">
        <v>28</v>
      </c>
      <c r="D118" s="17" t="s">
        <v>29</v>
      </c>
      <c r="E118" s="16" t="s">
        <v>30</v>
      </c>
      <c r="F118" s="16" t="s">
        <v>48</v>
      </c>
      <c r="G118" s="18" t="s">
        <v>401</v>
      </c>
      <c r="H118" s="18"/>
      <c r="I118" s="18" t="s">
        <v>402</v>
      </c>
      <c r="J118" s="18" t="s">
        <v>70</v>
      </c>
      <c r="K118" s="19">
        <f>ROUND(INDEX('Stats base'!B$5:B$8,MATCH($C118,'Stats base'!$A$5:$A$8,0))*INDEX('Stats base'!B$12:B$14,MATCH($E118,'Stats base'!$A$12:$A$14,0))*INDEX('Stats base'!B$18:B$22,MATCH($J118,'Stats base'!$A$18:$A$22,0))*IFERROR(INDEX(Variación!C$3:C$228,MATCH($G118,Variación!$A$3:$A$228,0)),1),0)</f>
        <v>147</v>
      </c>
      <c r="L118" s="20">
        <f>ROUND(INDEX('Stats base'!C$5:C$8,MATCH($C118,'Stats base'!$A$5:$A$8,0))*INDEX('Stats base'!C$12:C$14,MATCH($E118,'Stats base'!$A$12:$A$14,0))*INDEX('Stats base'!C$18:C$22,MATCH($J118,'Stats base'!$A$18:$A$22,0))*IFERROR(INDEX(Variación!D$3:D$228,MATCH($G118,Variación!$A$3:$A$228,0)),1),1)</f>
        <v>8.9</v>
      </c>
      <c r="M118" s="20">
        <f>ROUND(INDEX('Stats base'!D$5:D$8,MATCH($C118,'Stats base'!$A$5:$A$8,0))*INDEX('Stats base'!D$12:D$14,MATCH($E118,'Stats base'!$A$12:$A$14,0))*INDEX('Stats base'!D$18:D$22,MATCH($J118,'Stats base'!$A$18:$A$22,0))*IFERROR(INDEX(Variación!E$3:E$228,MATCH($G118,Variación!$A$3:$A$228,0)),1),1)</f>
        <v>20</v>
      </c>
      <c r="N118" s="20">
        <f>ROUND(INDEX('Stats base'!E$5:E$8,MATCH($C118,'Stats base'!$A$5:$A$8,0))*INDEX('Stats base'!E$12:E$14,MATCH($E118,'Stats base'!$A$12:$A$14,0))*INDEX('Stats base'!E$18:E$22,MATCH($J118,'Stats base'!$A$18:$A$22,0))*IFERROR(INDEX(Variación!F$3:F$228,MATCH($G118,Variación!$A$3:$A$228,0)),1),1)</f>
        <v>9</v>
      </c>
      <c r="O118" s="19">
        <f>ROUND(INDEX('Stats base'!F$5:F$8,MATCH($C118,'Stats base'!$A$5:$A$8,0))*INDEX('Stats base'!F$12:F$14,MATCH($E118,'Stats base'!$A$12:$A$14,0))*INDEX('Stats base'!F$18:F$22,MATCH($J118,'Stats base'!$A$18:$A$22,0))*IFERROR(INDEX(Variación!G$3:G$228,MATCH($G118,Variación!$A$3:$A$228,0)),1),0)</f>
        <v>83</v>
      </c>
      <c r="P118" s="21">
        <f>MIN('Stats base'!$G$30,ROUND(INDEX('Stats base'!G$5:G$8,MATCH($C118,'Stats base'!$A$5:$A$8,0))*INDEX('Stats base'!G$12:G$14,MATCH($E118,'Stats base'!$A$12:$A$14,0))*INDEX('Stats base'!G$18:G$22,MATCH($J118,'Stats base'!$A$18:$A$22,0))*IFERROR(INDEX(Variación!H$3:H$228,MATCH($G118,Variación!$A$3:$A$228,0)),1),3))</f>
        <v>1.2E-2</v>
      </c>
    </row>
    <row r="119" spans="1:16" ht="34.5" hidden="1" customHeight="1" x14ac:dyDescent="0.25">
      <c r="A119" s="15" t="s">
        <v>403</v>
      </c>
      <c r="B119" s="15" t="s">
        <v>404</v>
      </c>
      <c r="C119" s="16" t="s">
        <v>37</v>
      </c>
      <c r="D119" s="17" t="s">
        <v>29</v>
      </c>
      <c r="E119" s="16" t="s">
        <v>30</v>
      </c>
      <c r="F119" s="16" t="s">
        <v>43</v>
      </c>
      <c r="G119" s="18" t="s">
        <v>405</v>
      </c>
      <c r="H119" s="18"/>
      <c r="I119" s="18" t="s">
        <v>402</v>
      </c>
      <c r="J119" s="18" t="s">
        <v>50</v>
      </c>
      <c r="K119" s="19">
        <f>ROUND(INDEX('Stats base'!B$5:B$8,MATCH($C119,'Stats base'!$A$5:$A$8,0))*INDEX('Stats base'!B$12:B$14,MATCH($E119,'Stats base'!$A$12:$A$14,0))*INDEX('Stats base'!B$18:B$22,MATCH($J119,'Stats base'!$A$18:$A$22,0))*IFERROR(INDEX(Variación!C$3:C$228,MATCH($G119,Variación!$A$3:$A$228,0)),1),0)</f>
        <v>138</v>
      </c>
      <c r="L119" s="20">
        <f>ROUND(INDEX('Stats base'!C$5:C$8,MATCH($C119,'Stats base'!$A$5:$A$8,0))*INDEX('Stats base'!C$12:C$14,MATCH($E119,'Stats base'!$A$12:$A$14,0))*INDEX('Stats base'!C$18:C$22,MATCH($J119,'Stats base'!$A$18:$A$22,0))*IFERROR(INDEX(Variación!D$3:D$228,MATCH($G119,Variación!$A$3:$A$228,0)),1),1)</f>
        <v>6.7</v>
      </c>
      <c r="M119" s="20">
        <f>ROUND(INDEX('Stats base'!D$5:D$8,MATCH($C119,'Stats base'!$A$5:$A$8,0))*INDEX('Stats base'!D$12:D$14,MATCH($E119,'Stats base'!$A$12:$A$14,0))*INDEX('Stats base'!D$18:D$22,MATCH($J119,'Stats base'!$A$18:$A$22,0))*IFERROR(INDEX(Variación!E$3:E$228,MATCH($G119,Variación!$A$3:$A$228,0)),1),1)</f>
        <v>11.7</v>
      </c>
      <c r="N119" s="20">
        <f>ROUND(INDEX('Stats base'!E$5:E$8,MATCH($C119,'Stats base'!$A$5:$A$8,0))*INDEX('Stats base'!E$12:E$14,MATCH($E119,'Stats base'!$A$12:$A$14,0))*INDEX('Stats base'!E$18:E$22,MATCH($J119,'Stats base'!$A$18:$A$22,0))*IFERROR(INDEX(Variación!F$3:F$228,MATCH($G119,Variación!$A$3:$A$228,0)),1),1)</f>
        <v>8.6999999999999993</v>
      </c>
      <c r="O119" s="19">
        <f>ROUND(INDEX('Stats base'!F$5:F$8,MATCH($C119,'Stats base'!$A$5:$A$8,0))*INDEX('Stats base'!F$12:F$14,MATCH($E119,'Stats base'!$A$12:$A$14,0))*INDEX('Stats base'!F$18:F$22,MATCH($J119,'Stats base'!$A$18:$A$22,0))*IFERROR(INDEX(Variación!G$3:G$228,MATCH($G119,Variación!$A$3:$A$228,0)),1),0)</f>
        <v>105</v>
      </c>
      <c r="P119" s="21">
        <f>MIN('Stats base'!$G$30,ROUND(INDEX('Stats base'!G$5:G$8,MATCH($C119,'Stats base'!$A$5:$A$8,0))*INDEX('Stats base'!G$12:G$14,MATCH($E119,'Stats base'!$A$12:$A$14,0))*INDEX('Stats base'!G$18:G$22,MATCH($J119,'Stats base'!$A$18:$A$22,0))*IFERROR(INDEX(Variación!H$3:H$228,MATCH($G119,Variación!$A$3:$A$228,0)),1),3))</f>
        <v>1.7000000000000001E-2</v>
      </c>
    </row>
    <row r="120" spans="1:16" ht="34.5" hidden="1" customHeight="1" x14ac:dyDescent="0.25">
      <c r="A120" s="15" t="s">
        <v>406</v>
      </c>
      <c r="B120" s="15" t="s">
        <v>407</v>
      </c>
      <c r="C120" s="16" t="s">
        <v>37</v>
      </c>
      <c r="D120" s="17" t="s">
        <v>29</v>
      </c>
      <c r="E120" s="16" t="s">
        <v>30</v>
      </c>
      <c r="F120" s="16" t="s">
        <v>38</v>
      </c>
      <c r="G120" s="18" t="s">
        <v>408</v>
      </c>
      <c r="H120" s="18"/>
      <c r="I120" s="18" t="s">
        <v>402</v>
      </c>
      <c r="J120" s="18" t="s">
        <v>50</v>
      </c>
      <c r="K120" s="19">
        <f>ROUND(INDEX('Stats base'!B$5:B$8,MATCH($C120,'Stats base'!$A$5:$A$8,0))*INDEX('Stats base'!B$12:B$14,MATCH($E120,'Stats base'!$A$12:$A$14,0))*INDEX('Stats base'!B$18:B$22,MATCH($J120,'Stats base'!$A$18:$A$22,0))*IFERROR(INDEX(Variación!C$3:C$228,MATCH($G120,Variación!$A$3:$A$228,0)),1),0)</f>
        <v>138</v>
      </c>
      <c r="L120" s="20">
        <f>ROUND(INDEX('Stats base'!C$5:C$8,MATCH($C120,'Stats base'!$A$5:$A$8,0))*INDEX('Stats base'!C$12:C$14,MATCH($E120,'Stats base'!$A$12:$A$14,0))*INDEX('Stats base'!C$18:C$22,MATCH($J120,'Stats base'!$A$18:$A$22,0))*IFERROR(INDEX(Variación!D$3:D$228,MATCH($G120,Variación!$A$3:$A$228,0)),1),1)</f>
        <v>8.3000000000000007</v>
      </c>
      <c r="M120" s="20">
        <f>ROUND(INDEX('Stats base'!D$5:D$8,MATCH($C120,'Stats base'!$A$5:$A$8,0))*INDEX('Stats base'!D$12:D$14,MATCH($E120,'Stats base'!$A$12:$A$14,0))*INDEX('Stats base'!D$18:D$22,MATCH($J120,'Stats base'!$A$18:$A$22,0))*IFERROR(INDEX(Variación!E$3:E$228,MATCH($G120,Variación!$A$3:$A$228,0)),1),1)</f>
        <v>14.8</v>
      </c>
      <c r="N120" s="20">
        <f>ROUND(INDEX('Stats base'!E$5:E$8,MATCH($C120,'Stats base'!$A$5:$A$8,0))*INDEX('Stats base'!E$12:E$14,MATCH($E120,'Stats base'!$A$12:$A$14,0))*INDEX('Stats base'!E$18:E$22,MATCH($J120,'Stats base'!$A$18:$A$22,0))*IFERROR(INDEX(Variación!F$3:F$228,MATCH($G120,Variación!$A$3:$A$228,0)),1),1)</f>
        <v>8</v>
      </c>
      <c r="O120" s="19">
        <f>ROUND(INDEX('Stats base'!F$5:F$8,MATCH($C120,'Stats base'!$A$5:$A$8,0))*INDEX('Stats base'!F$12:F$14,MATCH($E120,'Stats base'!$A$12:$A$14,0))*INDEX('Stats base'!F$18:F$22,MATCH($J120,'Stats base'!$A$18:$A$22,0))*IFERROR(INDEX(Variación!G$3:G$228,MATCH($G120,Variación!$A$3:$A$228,0)),1),0)</f>
        <v>89</v>
      </c>
      <c r="P120" s="21">
        <f>MIN('Stats base'!$G$30,ROUND(INDEX('Stats base'!G$5:G$8,MATCH($C120,'Stats base'!$A$5:$A$8,0))*INDEX('Stats base'!G$12:G$14,MATCH($E120,'Stats base'!$A$12:$A$14,0))*INDEX('Stats base'!G$18:G$22,MATCH($J120,'Stats base'!$A$18:$A$22,0))*IFERROR(INDEX(Variación!H$3:H$228,MATCH($G120,Variación!$A$3:$A$228,0)),1),3))</f>
        <v>1.4999999999999999E-2</v>
      </c>
    </row>
    <row r="121" spans="1:16" ht="34.5" customHeight="1" x14ac:dyDescent="0.25">
      <c r="A121" s="15" t="s">
        <v>409</v>
      </c>
      <c r="B121" s="15" t="s">
        <v>410</v>
      </c>
      <c r="C121" s="16" t="s">
        <v>37</v>
      </c>
      <c r="D121" s="17" t="s">
        <v>29</v>
      </c>
      <c r="E121" s="16" t="s">
        <v>42</v>
      </c>
      <c r="F121" s="16" t="s">
        <v>43</v>
      </c>
      <c r="G121" s="18" t="s">
        <v>411</v>
      </c>
      <c r="H121" s="18"/>
      <c r="I121" s="18" t="s">
        <v>402</v>
      </c>
      <c r="J121" s="18" t="s">
        <v>85</v>
      </c>
      <c r="K121" s="19">
        <f>ROUND(INDEX('Stats base'!B$5:B$8,MATCH($C121,'Stats base'!$A$5:$A$8,0))*INDEX('Stats base'!B$12:B$14,MATCH($E121,'Stats base'!$A$12:$A$14,0))*INDEX('Stats base'!B$18:B$22,MATCH($J121,'Stats base'!$A$18:$A$22,0))*IFERROR(INDEX(Variación!C$3:C$228,MATCH($G121,Variación!$A$3:$A$228,0)),1),0)</f>
        <v>144</v>
      </c>
      <c r="L121" s="20">
        <f>ROUND(INDEX('Stats base'!C$5:C$8,MATCH($C121,'Stats base'!$A$5:$A$8,0))*INDEX('Stats base'!C$12:C$14,MATCH($E121,'Stats base'!$A$12:$A$14,0))*INDEX('Stats base'!C$18:C$22,MATCH($J121,'Stats base'!$A$18:$A$22,0))*IFERROR(INDEX(Variación!D$3:D$228,MATCH($G121,Variación!$A$3:$A$228,0)),1),1)</f>
        <v>7.3</v>
      </c>
      <c r="M121" s="20">
        <f>ROUND(INDEX('Stats base'!D$5:D$8,MATCH($C121,'Stats base'!$A$5:$A$8,0))*INDEX('Stats base'!D$12:D$14,MATCH($E121,'Stats base'!$A$12:$A$14,0))*INDEX('Stats base'!D$18:D$22,MATCH($J121,'Stats base'!$A$18:$A$22,0))*IFERROR(INDEX(Variación!E$3:E$228,MATCH($G121,Variación!$A$3:$A$228,0)),1),1)</f>
        <v>13.1</v>
      </c>
      <c r="N121" s="20">
        <f>ROUND(INDEX('Stats base'!E$5:E$8,MATCH($C121,'Stats base'!$A$5:$A$8,0))*INDEX('Stats base'!E$12:E$14,MATCH($E121,'Stats base'!$A$12:$A$14,0))*INDEX('Stats base'!E$18:E$22,MATCH($J121,'Stats base'!$A$18:$A$22,0))*IFERROR(INDEX(Variación!F$3:F$228,MATCH($G121,Variación!$A$3:$A$228,0)),1),1)</f>
        <v>9.1999999999999993</v>
      </c>
      <c r="O121" s="19">
        <f>ROUND(INDEX('Stats base'!F$5:F$8,MATCH($C121,'Stats base'!$A$5:$A$8,0))*INDEX('Stats base'!F$12:F$14,MATCH($E121,'Stats base'!$A$12:$A$14,0))*INDEX('Stats base'!F$18:F$22,MATCH($J121,'Stats base'!$A$18:$A$22,0))*IFERROR(INDEX(Variación!G$3:G$228,MATCH($G121,Variación!$A$3:$A$228,0)),1),0)</f>
        <v>87</v>
      </c>
      <c r="P121" s="21">
        <f>MIN('Stats base'!$G$30,ROUND(INDEX('Stats base'!G$5:G$8,MATCH($C121,'Stats base'!$A$5:$A$8,0))*INDEX('Stats base'!G$12:G$14,MATCH($E121,'Stats base'!$A$12:$A$14,0))*INDEX('Stats base'!G$18:G$22,MATCH($J121,'Stats base'!$A$18:$A$22,0))*IFERROR(INDEX(Variación!H$3:H$228,MATCH($G121,Variación!$A$3:$A$228,0)),1),3))</f>
        <v>1.0999999999999999E-2</v>
      </c>
    </row>
    <row r="122" spans="1:16" ht="34.5" customHeight="1" x14ac:dyDescent="0.25">
      <c r="A122" s="15" t="s">
        <v>412</v>
      </c>
      <c r="B122" s="15" t="s">
        <v>413</v>
      </c>
      <c r="C122" s="16" t="s">
        <v>37</v>
      </c>
      <c r="D122" s="17" t="s">
        <v>29</v>
      </c>
      <c r="E122" s="16" t="s">
        <v>42</v>
      </c>
      <c r="F122" s="16" t="s">
        <v>54</v>
      </c>
      <c r="G122" s="18" t="s">
        <v>414</v>
      </c>
      <c r="H122" s="18"/>
      <c r="I122" s="18" t="s">
        <v>402</v>
      </c>
      <c r="J122" s="18" t="s">
        <v>85</v>
      </c>
      <c r="K122" s="19">
        <f>ROUND(INDEX('Stats base'!B$5:B$8,MATCH($C122,'Stats base'!$A$5:$A$8,0))*INDEX('Stats base'!B$12:B$14,MATCH($E122,'Stats base'!$A$12:$A$14,0))*INDEX('Stats base'!B$18:B$22,MATCH($J122,'Stats base'!$A$18:$A$22,0))*IFERROR(INDEX(Variación!C$3:C$228,MATCH($G122,Variación!$A$3:$A$228,0)),1),0)</f>
        <v>118</v>
      </c>
      <c r="L122" s="20">
        <f>ROUND(INDEX('Stats base'!C$5:C$8,MATCH($C122,'Stats base'!$A$5:$A$8,0))*INDEX('Stats base'!C$12:C$14,MATCH($E122,'Stats base'!$A$12:$A$14,0))*INDEX('Stats base'!C$18:C$22,MATCH($J122,'Stats base'!$A$18:$A$22,0))*IFERROR(INDEX(Variación!D$3:D$228,MATCH($G122,Variación!$A$3:$A$228,0)),1),1)</f>
        <v>7.2</v>
      </c>
      <c r="M122" s="20">
        <f>ROUND(INDEX('Stats base'!D$5:D$8,MATCH($C122,'Stats base'!$A$5:$A$8,0))*INDEX('Stats base'!D$12:D$14,MATCH($E122,'Stats base'!$A$12:$A$14,0))*INDEX('Stats base'!D$18:D$22,MATCH($J122,'Stats base'!$A$18:$A$22,0))*IFERROR(INDEX(Variación!E$3:E$228,MATCH($G122,Variación!$A$3:$A$228,0)),1),1)</f>
        <v>12.2</v>
      </c>
      <c r="N122" s="20">
        <f>ROUND(INDEX('Stats base'!E$5:E$8,MATCH($C122,'Stats base'!$A$5:$A$8,0))*INDEX('Stats base'!E$12:E$14,MATCH($E122,'Stats base'!$A$12:$A$14,0))*INDEX('Stats base'!E$18:E$22,MATCH($J122,'Stats base'!$A$18:$A$22,0))*IFERROR(INDEX(Variación!F$3:F$228,MATCH($G122,Variación!$A$3:$A$228,0)),1),1)</f>
        <v>7.9</v>
      </c>
      <c r="O122" s="19">
        <f>ROUND(INDEX('Stats base'!F$5:F$8,MATCH($C122,'Stats base'!$A$5:$A$8,0))*INDEX('Stats base'!F$12:F$14,MATCH($E122,'Stats base'!$A$12:$A$14,0))*INDEX('Stats base'!F$18:F$22,MATCH($J122,'Stats base'!$A$18:$A$22,0))*IFERROR(INDEX(Variación!G$3:G$228,MATCH($G122,Variación!$A$3:$A$228,0)),1),0)</f>
        <v>90</v>
      </c>
      <c r="P122" s="21">
        <f>MIN('Stats base'!$G$30,ROUND(INDEX('Stats base'!G$5:G$8,MATCH($C122,'Stats base'!$A$5:$A$8,0))*INDEX('Stats base'!G$12:G$14,MATCH($E122,'Stats base'!$A$12:$A$14,0))*INDEX('Stats base'!G$18:G$22,MATCH($J122,'Stats base'!$A$18:$A$22,0))*IFERROR(INDEX(Variación!H$3:H$228,MATCH($G122,Variación!$A$3:$A$228,0)),1),3))</f>
        <v>1.2E-2</v>
      </c>
    </row>
    <row r="123" spans="1:16" ht="34.5" hidden="1" customHeight="1" x14ac:dyDescent="0.25">
      <c r="A123" s="15" t="s">
        <v>415</v>
      </c>
      <c r="B123" s="15" t="s">
        <v>416</v>
      </c>
      <c r="C123" s="16" t="s">
        <v>58</v>
      </c>
      <c r="D123" s="17" t="s">
        <v>29</v>
      </c>
      <c r="E123" s="16" t="s">
        <v>30</v>
      </c>
      <c r="F123" s="16" t="s">
        <v>43</v>
      </c>
      <c r="G123" s="18" t="s">
        <v>417</v>
      </c>
      <c r="H123" s="18"/>
      <c r="I123" s="18" t="s">
        <v>402</v>
      </c>
      <c r="J123" s="18" t="s">
        <v>50</v>
      </c>
      <c r="K123" s="19">
        <f>ROUND(INDEX('Stats base'!B$5:B$8,MATCH($C123,'Stats base'!$A$5:$A$8,0))*INDEX('Stats base'!B$12:B$14,MATCH($E123,'Stats base'!$A$12:$A$14,0))*INDEX('Stats base'!B$18:B$22,MATCH($J123,'Stats base'!$A$18:$A$22,0))*IFERROR(INDEX(Variación!C$3:C$228,MATCH($G123,Variación!$A$3:$A$228,0)),1),0)</f>
        <v>114</v>
      </c>
      <c r="L123" s="20">
        <f>ROUND(INDEX('Stats base'!C$5:C$8,MATCH($C123,'Stats base'!$A$5:$A$8,0))*INDEX('Stats base'!C$12:C$14,MATCH($E123,'Stats base'!$A$12:$A$14,0))*INDEX('Stats base'!C$18:C$22,MATCH($J123,'Stats base'!$A$18:$A$22,0))*IFERROR(INDEX(Variación!D$3:D$228,MATCH($G123,Variación!$A$3:$A$228,0)),1),1)</f>
        <v>10.6</v>
      </c>
      <c r="M123" s="20">
        <f>ROUND(INDEX('Stats base'!D$5:D$8,MATCH($C123,'Stats base'!$A$5:$A$8,0))*INDEX('Stats base'!D$12:D$14,MATCH($E123,'Stats base'!$A$12:$A$14,0))*INDEX('Stats base'!D$18:D$22,MATCH($J123,'Stats base'!$A$18:$A$22,0))*IFERROR(INDEX(Variación!E$3:E$228,MATCH($G123,Variación!$A$3:$A$228,0)),1),1)</f>
        <v>18.8</v>
      </c>
      <c r="N123" s="20">
        <f>ROUND(INDEX('Stats base'!E$5:E$8,MATCH($C123,'Stats base'!$A$5:$A$8,0))*INDEX('Stats base'!E$12:E$14,MATCH($E123,'Stats base'!$A$12:$A$14,0))*INDEX('Stats base'!E$18:E$22,MATCH($J123,'Stats base'!$A$18:$A$22,0))*IFERROR(INDEX(Variación!F$3:F$228,MATCH($G123,Variación!$A$3:$A$228,0)),1),1)</f>
        <v>4.9000000000000004</v>
      </c>
      <c r="O123" s="19">
        <f>ROUND(INDEX('Stats base'!F$5:F$8,MATCH($C123,'Stats base'!$A$5:$A$8,0))*INDEX('Stats base'!F$12:F$14,MATCH($E123,'Stats base'!$A$12:$A$14,0))*INDEX('Stats base'!F$18:F$22,MATCH($J123,'Stats base'!$A$18:$A$22,0))*IFERROR(INDEX(Variación!G$3:G$228,MATCH($G123,Variación!$A$3:$A$228,0)),1),0)</f>
        <v>105</v>
      </c>
      <c r="P123" s="21">
        <f>MIN('Stats base'!$G$30,ROUND(INDEX('Stats base'!G$5:G$8,MATCH($C123,'Stats base'!$A$5:$A$8,0))*INDEX('Stats base'!G$12:G$14,MATCH($E123,'Stats base'!$A$12:$A$14,0))*INDEX('Stats base'!G$18:G$22,MATCH($J123,'Stats base'!$A$18:$A$22,0))*IFERROR(INDEX(Variación!H$3:H$228,MATCH($G123,Variación!$A$3:$A$228,0)),1),3))</f>
        <v>4.1000000000000002E-2</v>
      </c>
    </row>
    <row r="124" spans="1:16" ht="34.5" hidden="1" customHeight="1" x14ac:dyDescent="0.25">
      <c r="A124" s="15" t="s">
        <v>418</v>
      </c>
      <c r="B124" s="15" t="s">
        <v>419</v>
      </c>
      <c r="C124" s="16" t="s">
        <v>58</v>
      </c>
      <c r="D124" s="17" t="s">
        <v>29</v>
      </c>
      <c r="E124" s="16" t="s">
        <v>30</v>
      </c>
      <c r="F124" s="16" t="s">
        <v>38</v>
      </c>
      <c r="G124" s="18" t="s">
        <v>420</v>
      </c>
      <c r="H124" s="18"/>
      <c r="I124" s="18" t="s">
        <v>402</v>
      </c>
      <c r="J124" s="18" t="s">
        <v>50</v>
      </c>
      <c r="K124" s="19">
        <f>ROUND(INDEX('Stats base'!B$5:B$8,MATCH($C124,'Stats base'!$A$5:$A$8,0))*INDEX('Stats base'!B$12:B$14,MATCH($E124,'Stats base'!$A$12:$A$14,0))*INDEX('Stats base'!B$18:B$22,MATCH($J124,'Stats base'!$A$18:$A$22,0))*IFERROR(INDEX(Variación!C$3:C$228,MATCH($G124,Variación!$A$3:$A$228,0)),1),0)</f>
        <v>104</v>
      </c>
      <c r="L124" s="20">
        <f>ROUND(INDEX('Stats base'!C$5:C$8,MATCH($C124,'Stats base'!$A$5:$A$8,0))*INDEX('Stats base'!C$12:C$14,MATCH($E124,'Stats base'!$A$12:$A$14,0))*INDEX('Stats base'!C$18:C$22,MATCH($J124,'Stats base'!$A$18:$A$22,0))*IFERROR(INDEX(Variación!D$3:D$228,MATCH($G124,Variación!$A$3:$A$228,0)),1),1)</f>
        <v>10.3</v>
      </c>
      <c r="M124" s="20">
        <f>ROUND(INDEX('Stats base'!D$5:D$8,MATCH($C124,'Stats base'!$A$5:$A$8,0))*INDEX('Stats base'!D$12:D$14,MATCH($E124,'Stats base'!$A$12:$A$14,0))*INDEX('Stats base'!D$18:D$22,MATCH($J124,'Stats base'!$A$18:$A$22,0))*IFERROR(INDEX(Variación!E$3:E$228,MATCH($G124,Variación!$A$3:$A$228,0)),1),1)</f>
        <v>17.7</v>
      </c>
      <c r="N124" s="20">
        <f>ROUND(INDEX('Stats base'!E$5:E$8,MATCH($C124,'Stats base'!$A$5:$A$8,0))*INDEX('Stats base'!E$12:E$14,MATCH($E124,'Stats base'!$A$12:$A$14,0))*INDEX('Stats base'!E$18:E$22,MATCH($J124,'Stats base'!$A$18:$A$22,0))*IFERROR(INDEX(Variación!F$3:F$228,MATCH($G124,Variación!$A$3:$A$228,0)),1),1)</f>
        <v>4.7</v>
      </c>
      <c r="O124" s="19">
        <f>ROUND(INDEX('Stats base'!F$5:F$8,MATCH($C124,'Stats base'!$A$5:$A$8,0))*INDEX('Stats base'!F$12:F$14,MATCH($E124,'Stats base'!$A$12:$A$14,0))*INDEX('Stats base'!F$18:F$22,MATCH($J124,'Stats base'!$A$18:$A$22,0))*IFERROR(INDEX(Variación!G$3:G$228,MATCH($G124,Variación!$A$3:$A$228,0)),1),0)</f>
        <v>99</v>
      </c>
      <c r="P124" s="21">
        <f>MIN('Stats base'!$G$30,ROUND(INDEX('Stats base'!G$5:G$8,MATCH($C124,'Stats base'!$A$5:$A$8,0))*INDEX('Stats base'!G$12:G$14,MATCH($E124,'Stats base'!$A$12:$A$14,0))*INDEX('Stats base'!G$18:G$22,MATCH($J124,'Stats base'!$A$18:$A$22,0))*IFERROR(INDEX(Variación!H$3:H$228,MATCH($G124,Variación!$A$3:$A$228,0)),1),3))</f>
        <v>4.2000000000000003E-2</v>
      </c>
    </row>
    <row r="125" spans="1:16" ht="34.5" hidden="1" customHeight="1" x14ac:dyDescent="0.25">
      <c r="A125" s="15" t="s">
        <v>421</v>
      </c>
      <c r="B125" s="15" t="s">
        <v>422</v>
      </c>
      <c r="C125" s="16" t="s">
        <v>58</v>
      </c>
      <c r="D125" s="17" t="s">
        <v>29</v>
      </c>
      <c r="E125" s="16" t="s">
        <v>53</v>
      </c>
      <c r="F125" s="16" t="s">
        <v>38</v>
      </c>
      <c r="G125" s="18" t="s">
        <v>423</v>
      </c>
      <c r="H125" s="18"/>
      <c r="I125" s="18" t="s">
        <v>402</v>
      </c>
      <c r="J125" s="18" t="s">
        <v>50</v>
      </c>
      <c r="K125" s="19">
        <f>ROUND(INDEX('Stats base'!B$5:B$8,MATCH($C125,'Stats base'!$A$5:$A$8,0))*INDEX('Stats base'!B$12:B$14,MATCH($E125,'Stats base'!$A$12:$A$14,0))*INDEX('Stats base'!B$18:B$22,MATCH($J125,'Stats base'!$A$18:$A$22,0))*IFERROR(INDEX(Variación!C$3:C$228,MATCH($G125,Variación!$A$3:$A$228,0)),1),0)</f>
        <v>95</v>
      </c>
      <c r="L125" s="20">
        <f>ROUND(INDEX('Stats base'!C$5:C$8,MATCH($C125,'Stats base'!$A$5:$A$8,0))*INDEX('Stats base'!C$12:C$14,MATCH($E125,'Stats base'!$A$12:$A$14,0))*INDEX('Stats base'!C$18:C$22,MATCH($J125,'Stats base'!$A$18:$A$22,0))*IFERROR(INDEX(Variación!D$3:D$228,MATCH($G125,Variación!$A$3:$A$228,0)),1),1)</f>
        <v>10.4</v>
      </c>
      <c r="M125" s="20">
        <f>ROUND(INDEX('Stats base'!D$5:D$8,MATCH($C125,'Stats base'!$A$5:$A$8,0))*INDEX('Stats base'!D$12:D$14,MATCH($E125,'Stats base'!$A$12:$A$14,0))*INDEX('Stats base'!D$18:D$22,MATCH($J125,'Stats base'!$A$18:$A$22,0))*IFERROR(INDEX(Variación!E$3:E$228,MATCH($G125,Variación!$A$3:$A$228,0)),1),1)</f>
        <v>19.100000000000001</v>
      </c>
      <c r="N125" s="20">
        <f>ROUND(INDEX('Stats base'!E$5:E$8,MATCH($C125,'Stats base'!$A$5:$A$8,0))*INDEX('Stats base'!E$12:E$14,MATCH($E125,'Stats base'!$A$12:$A$14,0))*INDEX('Stats base'!E$18:E$22,MATCH($J125,'Stats base'!$A$18:$A$22,0))*IFERROR(INDEX(Variación!F$3:F$228,MATCH($G125,Variación!$A$3:$A$228,0)),1),1)</f>
        <v>4.5</v>
      </c>
      <c r="O125" s="19">
        <f>ROUND(INDEX('Stats base'!F$5:F$8,MATCH($C125,'Stats base'!$A$5:$A$8,0))*INDEX('Stats base'!F$12:F$14,MATCH($E125,'Stats base'!$A$12:$A$14,0))*INDEX('Stats base'!F$18:F$22,MATCH($J125,'Stats base'!$A$18:$A$22,0))*IFERROR(INDEX(Variación!G$3:G$228,MATCH($G125,Variación!$A$3:$A$228,0)),1),0)</f>
        <v>108</v>
      </c>
      <c r="P125" s="21">
        <f>MIN('Stats base'!$G$30,ROUND(INDEX('Stats base'!G$5:G$8,MATCH($C125,'Stats base'!$A$5:$A$8,0))*INDEX('Stats base'!G$12:G$14,MATCH($E125,'Stats base'!$A$12:$A$14,0))*INDEX('Stats base'!G$18:G$22,MATCH($J125,'Stats base'!$A$18:$A$22,0))*IFERROR(INDEX(Variación!H$3:H$228,MATCH($G125,Variación!$A$3:$A$228,0)),1),3))</f>
        <v>4.4999999999999998E-2</v>
      </c>
    </row>
    <row r="126" spans="1:16" ht="34.5" hidden="1" customHeight="1" x14ac:dyDescent="0.25">
      <c r="A126" s="15" t="s">
        <v>424</v>
      </c>
      <c r="B126" s="15" t="s">
        <v>425</v>
      </c>
      <c r="C126" s="16" t="s">
        <v>68</v>
      </c>
      <c r="D126" s="17" t="s">
        <v>29</v>
      </c>
      <c r="E126" s="16" t="s">
        <v>30</v>
      </c>
      <c r="F126" s="16" t="s">
        <v>48</v>
      </c>
      <c r="G126" s="18" t="s">
        <v>426</v>
      </c>
      <c r="H126" s="18"/>
      <c r="I126" s="18" t="s">
        <v>402</v>
      </c>
      <c r="J126" s="18" t="s">
        <v>50</v>
      </c>
      <c r="K126" s="19">
        <f>ROUND(INDEX('Stats base'!B$5:B$8,MATCH($C126,'Stats base'!$A$5:$A$8,0))*INDEX('Stats base'!B$12:B$14,MATCH($E126,'Stats base'!$A$12:$A$14,0))*INDEX('Stats base'!B$18:B$22,MATCH($J126,'Stats base'!$A$18:$A$22,0))*IFERROR(INDEX(Variación!C$3:C$228,MATCH($G126,Variación!$A$3:$A$228,0)),1),0)</f>
        <v>92</v>
      </c>
      <c r="L126" s="20">
        <f>ROUND(INDEX('Stats base'!C$5:C$8,MATCH($C126,'Stats base'!$A$5:$A$8,0))*INDEX('Stats base'!C$12:C$14,MATCH($E126,'Stats base'!$A$12:$A$14,0))*INDEX('Stats base'!C$18:C$22,MATCH($J126,'Stats base'!$A$18:$A$22,0))*IFERROR(INDEX(Variación!D$3:D$228,MATCH($G126,Variación!$A$3:$A$228,0)),1),1)</f>
        <v>13.4</v>
      </c>
      <c r="M126" s="20">
        <f>ROUND(INDEX('Stats base'!D$5:D$8,MATCH($C126,'Stats base'!$A$5:$A$8,0))*INDEX('Stats base'!D$12:D$14,MATCH($E126,'Stats base'!$A$12:$A$14,0))*INDEX('Stats base'!D$18:D$22,MATCH($J126,'Stats base'!$A$18:$A$22,0))*IFERROR(INDEX(Variación!E$3:E$228,MATCH($G126,Variación!$A$3:$A$228,0)),1),1)</f>
        <v>21.1</v>
      </c>
      <c r="N126" s="20">
        <f>ROUND(INDEX('Stats base'!E$5:E$8,MATCH($C126,'Stats base'!$A$5:$A$8,0))*INDEX('Stats base'!E$12:E$14,MATCH($E126,'Stats base'!$A$12:$A$14,0))*INDEX('Stats base'!E$18:E$22,MATCH($J126,'Stats base'!$A$18:$A$22,0))*IFERROR(INDEX(Variación!F$3:F$228,MATCH($G126,Variación!$A$3:$A$228,0)),1),1)</f>
        <v>3.6</v>
      </c>
      <c r="O126" s="19">
        <f>ROUND(INDEX('Stats base'!F$5:F$8,MATCH($C126,'Stats base'!$A$5:$A$8,0))*INDEX('Stats base'!F$12:F$14,MATCH($E126,'Stats base'!$A$12:$A$14,0))*INDEX('Stats base'!F$18:F$22,MATCH($J126,'Stats base'!$A$18:$A$22,0))*IFERROR(INDEX(Variación!G$3:G$228,MATCH($G126,Variación!$A$3:$A$228,0)),1),0)</f>
        <v>90</v>
      </c>
      <c r="P126" s="21">
        <f>MIN('Stats base'!$G$30,ROUND(INDEX('Stats base'!G$5:G$8,MATCH($C126,'Stats base'!$A$5:$A$8,0))*INDEX('Stats base'!G$12:G$14,MATCH($E126,'Stats base'!$A$12:$A$14,0))*INDEX('Stats base'!G$18:G$22,MATCH($J126,'Stats base'!$A$18:$A$22,0))*IFERROR(INDEX(Variación!H$3:H$228,MATCH($G126,Variación!$A$3:$A$228,0)),1),3))</f>
        <v>2.1999999999999999E-2</v>
      </c>
    </row>
    <row r="127" spans="1:16" ht="34.5" hidden="1" customHeight="1" x14ac:dyDescent="0.25">
      <c r="A127" s="15" t="s">
        <v>427</v>
      </c>
      <c r="B127" s="15" t="s">
        <v>428</v>
      </c>
      <c r="C127" s="16" t="s">
        <v>58</v>
      </c>
      <c r="D127" s="17" t="s">
        <v>29</v>
      </c>
      <c r="E127" s="16" t="s">
        <v>30</v>
      </c>
      <c r="F127" s="16" t="s">
        <v>48</v>
      </c>
      <c r="G127" s="18" t="s">
        <v>429</v>
      </c>
      <c r="H127" s="18"/>
      <c r="I127" s="18" t="s">
        <v>402</v>
      </c>
      <c r="J127" s="18" t="s">
        <v>50</v>
      </c>
      <c r="K127" s="19">
        <f>ROUND(INDEX('Stats base'!B$5:B$8,MATCH($C127,'Stats base'!$A$5:$A$8,0))*INDEX('Stats base'!B$12:B$14,MATCH($E127,'Stats base'!$A$12:$A$14,0))*INDEX('Stats base'!B$18:B$22,MATCH($J127,'Stats base'!$A$18:$A$22,0))*IFERROR(INDEX(Variación!C$3:C$228,MATCH($G127,Variación!$A$3:$A$228,0)),1),0)</f>
        <v>101</v>
      </c>
      <c r="L127" s="20">
        <f>ROUND(INDEX('Stats base'!C$5:C$8,MATCH($C127,'Stats base'!$A$5:$A$8,0))*INDEX('Stats base'!C$12:C$14,MATCH($E127,'Stats base'!$A$12:$A$14,0))*INDEX('Stats base'!C$18:C$22,MATCH($J127,'Stats base'!$A$18:$A$22,0))*IFERROR(INDEX(Variación!D$3:D$228,MATCH($G127,Variación!$A$3:$A$228,0)),1),1)</f>
        <v>9.4</v>
      </c>
      <c r="M127" s="20">
        <f>ROUND(INDEX('Stats base'!D$5:D$8,MATCH($C127,'Stats base'!$A$5:$A$8,0))*INDEX('Stats base'!D$12:D$14,MATCH($E127,'Stats base'!$A$12:$A$14,0))*INDEX('Stats base'!D$18:D$22,MATCH($J127,'Stats base'!$A$18:$A$22,0))*IFERROR(INDEX(Variación!E$3:E$228,MATCH($G127,Variación!$A$3:$A$228,0)),1),1)</f>
        <v>17.899999999999999</v>
      </c>
      <c r="N127" s="20">
        <f>ROUND(INDEX('Stats base'!E$5:E$8,MATCH($C127,'Stats base'!$A$5:$A$8,0))*INDEX('Stats base'!E$12:E$14,MATCH($E127,'Stats base'!$A$12:$A$14,0))*INDEX('Stats base'!E$18:E$22,MATCH($J127,'Stats base'!$A$18:$A$22,0))*IFERROR(INDEX(Variación!F$3:F$228,MATCH($G127,Variación!$A$3:$A$228,0)),1),1)</f>
        <v>4.3</v>
      </c>
      <c r="O127" s="19">
        <f>ROUND(INDEX('Stats base'!F$5:F$8,MATCH($C127,'Stats base'!$A$5:$A$8,0))*INDEX('Stats base'!F$12:F$14,MATCH($E127,'Stats base'!$A$12:$A$14,0))*INDEX('Stats base'!F$18:F$22,MATCH($J127,'Stats base'!$A$18:$A$22,0))*IFERROR(INDEX(Variación!G$3:G$228,MATCH($G127,Variación!$A$3:$A$228,0)),1),0)</f>
        <v>101</v>
      </c>
      <c r="P127" s="21">
        <f>MIN('Stats base'!$G$30,ROUND(INDEX('Stats base'!G$5:G$8,MATCH($C127,'Stats base'!$A$5:$A$8,0))*INDEX('Stats base'!G$12:G$14,MATCH($E127,'Stats base'!$A$12:$A$14,0))*INDEX('Stats base'!G$18:G$22,MATCH($J127,'Stats base'!$A$18:$A$22,0))*IFERROR(INDEX(Variación!H$3:H$228,MATCH($G127,Variación!$A$3:$A$228,0)),1),3))</f>
        <v>3.7999999999999999E-2</v>
      </c>
    </row>
    <row r="128" spans="1:16" ht="34.5" hidden="1" customHeight="1" x14ac:dyDescent="0.25">
      <c r="A128" s="15" t="s">
        <v>430</v>
      </c>
      <c r="B128" s="15" t="s">
        <v>431</v>
      </c>
      <c r="C128" s="16" t="s">
        <v>68</v>
      </c>
      <c r="D128" s="17" t="s">
        <v>29</v>
      </c>
      <c r="E128" s="16" t="s">
        <v>30</v>
      </c>
      <c r="F128" s="16" t="s">
        <v>54</v>
      </c>
      <c r="G128" s="18" t="s">
        <v>432</v>
      </c>
      <c r="H128" s="18"/>
      <c r="I128" s="18" t="s">
        <v>402</v>
      </c>
      <c r="J128" s="18" t="s">
        <v>45</v>
      </c>
      <c r="K128" s="19">
        <f>ROUND(INDEX('Stats base'!B$5:B$8,MATCH($C128,'Stats base'!$A$5:$A$8,0))*INDEX('Stats base'!B$12:B$14,MATCH($E128,'Stats base'!$A$12:$A$14,0))*INDEX('Stats base'!B$18:B$22,MATCH($J128,'Stats base'!$A$18:$A$22,0))*IFERROR(INDEX(Variación!C$3:C$228,MATCH($G128,Variación!$A$3:$A$228,0)),1),0)</f>
        <v>112</v>
      </c>
      <c r="L128" s="20">
        <f>ROUND(INDEX('Stats base'!C$5:C$8,MATCH($C128,'Stats base'!$A$5:$A$8,0))*INDEX('Stats base'!C$12:C$14,MATCH($E128,'Stats base'!$A$12:$A$14,0))*INDEX('Stats base'!C$18:C$22,MATCH($J128,'Stats base'!$A$18:$A$22,0))*IFERROR(INDEX(Variación!D$3:D$228,MATCH($G128,Variación!$A$3:$A$228,0)),1),1)</f>
        <v>17.600000000000001</v>
      </c>
      <c r="M128" s="20">
        <f>ROUND(INDEX('Stats base'!D$5:D$8,MATCH($C128,'Stats base'!$A$5:$A$8,0))*INDEX('Stats base'!D$12:D$14,MATCH($E128,'Stats base'!$A$12:$A$14,0))*INDEX('Stats base'!D$18:D$22,MATCH($J128,'Stats base'!$A$18:$A$22,0))*IFERROR(INDEX(Variación!E$3:E$228,MATCH($G128,Variación!$A$3:$A$228,0)),1),1)</f>
        <v>29.6</v>
      </c>
      <c r="N128" s="20">
        <f>ROUND(INDEX('Stats base'!E$5:E$8,MATCH($C128,'Stats base'!$A$5:$A$8,0))*INDEX('Stats base'!E$12:E$14,MATCH($E128,'Stats base'!$A$12:$A$14,0))*INDEX('Stats base'!E$18:E$22,MATCH($J128,'Stats base'!$A$18:$A$22,0))*IFERROR(INDEX(Variación!F$3:F$228,MATCH($G128,Variación!$A$3:$A$228,0)),1),1)</f>
        <v>4.5</v>
      </c>
      <c r="O128" s="19">
        <f>ROUND(INDEX('Stats base'!F$5:F$8,MATCH($C128,'Stats base'!$A$5:$A$8,0))*INDEX('Stats base'!F$12:F$14,MATCH($E128,'Stats base'!$A$12:$A$14,0))*INDEX('Stats base'!F$18:F$22,MATCH($J128,'Stats base'!$A$18:$A$22,0))*IFERROR(INDEX(Variación!G$3:G$228,MATCH($G128,Variación!$A$3:$A$228,0)),1),0)</f>
        <v>103</v>
      </c>
      <c r="P128" s="21">
        <f>MIN('Stats base'!$G$30,ROUND(INDEX('Stats base'!G$5:G$8,MATCH($C128,'Stats base'!$A$5:$A$8,0))*INDEX('Stats base'!G$12:G$14,MATCH($E128,'Stats base'!$A$12:$A$14,0))*INDEX('Stats base'!G$18:G$22,MATCH($J128,'Stats base'!$A$18:$A$22,0))*IFERROR(INDEX(Variación!H$3:H$228,MATCH($G128,Variación!$A$3:$A$228,0)),1),3))</f>
        <v>3.5999999999999997E-2</v>
      </c>
    </row>
    <row r="129" spans="1:16" ht="34.5" hidden="1" customHeight="1" x14ac:dyDescent="0.25">
      <c r="A129" s="15" t="s">
        <v>433</v>
      </c>
      <c r="B129" s="15" t="s">
        <v>434</v>
      </c>
      <c r="C129" s="16" t="s">
        <v>68</v>
      </c>
      <c r="D129" s="17" t="s">
        <v>29</v>
      </c>
      <c r="E129" s="16" t="s">
        <v>30</v>
      </c>
      <c r="F129" s="16" t="s">
        <v>38</v>
      </c>
      <c r="G129" s="18" t="s">
        <v>435</v>
      </c>
      <c r="H129" s="18"/>
      <c r="I129" s="18" t="s">
        <v>402</v>
      </c>
      <c r="J129" s="18" t="s">
        <v>50</v>
      </c>
      <c r="K129" s="19">
        <f>ROUND(INDEX('Stats base'!B$5:B$8,MATCH($C129,'Stats base'!$A$5:$A$8,0))*INDEX('Stats base'!B$12:B$14,MATCH($E129,'Stats base'!$A$12:$A$14,0))*INDEX('Stats base'!B$18:B$22,MATCH($J129,'Stats base'!$A$18:$A$22,0))*IFERROR(INDEX(Variación!C$3:C$228,MATCH($G129,Variación!$A$3:$A$228,0)),1),0)</f>
        <v>85</v>
      </c>
      <c r="L129" s="20">
        <f>ROUND(INDEX('Stats base'!C$5:C$8,MATCH($C129,'Stats base'!$A$5:$A$8,0))*INDEX('Stats base'!C$12:C$14,MATCH($E129,'Stats base'!$A$12:$A$14,0))*INDEX('Stats base'!C$18:C$22,MATCH($J129,'Stats base'!$A$18:$A$22,0))*IFERROR(INDEX(Variación!D$3:D$228,MATCH($G129,Variación!$A$3:$A$228,0)),1),1)</f>
        <v>13.3</v>
      </c>
      <c r="M129" s="20">
        <f>ROUND(INDEX('Stats base'!D$5:D$8,MATCH($C129,'Stats base'!$A$5:$A$8,0))*INDEX('Stats base'!D$12:D$14,MATCH($E129,'Stats base'!$A$12:$A$14,0))*INDEX('Stats base'!D$18:D$22,MATCH($J129,'Stats base'!$A$18:$A$22,0))*IFERROR(INDEX(Variación!E$3:E$228,MATCH($G129,Variación!$A$3:$A$228,0)),1),1)</f>
        <v>23.3</v>
      </c>
      <c r="N129" s="20">
        <f>ROUND(INDEX('Stats base'!E$5:E$8,MATCH($C129,'Stats base'!$A$5:$A$8,0))*INDEX('Stats base'!E$12:E$14,MATCH($E129,'Stats base'!$A$12:$A$14,0))*INDEX('Stats base'!E$18:E$22,MATCH($J129,'Stats base'!$A$18:$A$22,0))*IFERROR(INDEX(Variación!F$3:F$228,MATCH($G129,Variación!$A$3:$A$228,0)),1),1)</f>
        <v>3.1</v>
      </c>
      <c r="O129" s="19">
        <f>ROUND(INDEX('Stats base'!F$5:F$8,MATCH($C129,'Stats base'!$A$5:$A$8,0))*INDEX('Stats base'!F$12:F$14,MATCH($E129,'Stats base'!$A$12:$A$14,0))*INDEX('Stats base'!F$18:F$22,MATCH($J129,'Stats base'!$A$18:$A$22,0))*IFERROR(INDEX(Variación!G$3:G$228,MATCH($G129,Variación!$A$3:$A$228,0)),1),0)</f>
        <v>108</v>
      </c>
      <c r="P129" s="21">
        <f>MIN('Stats base'!$G$30,ROUND(INDEX('Stats base'!G$5:G$8,MATCH($C129,'Stats base'!$A$5:$A$8,0))*INDEX('Stats base'!G$12:G$14,MATCH($E129,'Stats base'!$A$12:$A$14,0))*INDEX('Stats base'!G$18:G$22,MATCH($J129,'Stats base'!$A$18:$A$22,0))*IFERROR(INDEX(Variación!H$3:H$228,MATCH($G129,Variación!$A$3:$A$228,0)),1),3))</f>
        <v>2.5999999999999999E-2</v>
      </c>
    </row>
    <row r="130" spans="1:16" ht="34.5" hidden="1" customHeight="1" x14ac:dyDescent="0.25">
      <c r="A130" s="15" t="s">
        <v>436</v>
      </c>
      <c r="B130" s="15" t="s">
        <v>437</v>
      </c>
      <c r="C130" s="16" t="s">
        <v>37</v>
      </c>
      <c r="D130" s="17" t="s">
        <v>29</v>
      </c>
      <c r="E130" s="16" t="s">
        <v>42</v>
      </c>
      <c r="F130" s="16" t="s">
        <v>43</v>
      </c>
      <c r="G130" s="18" t="s">
        <v>438</v>
      </c>
      <c r="H130" s="18"/>
      <c r="I130" s="18" t="s">
        <v>402</v>
      </c>
      <c r="J130" s="18" t="s">
        <v>50</v>
      </c>
      <c r="K130" s="19">
        <f>ROUND(INDEX('Stats base'!B$5:B$8,MATCH($C130,'Stats base'!$A$5:$A$8,0))*INDEX('Stats base'!B$12:B$14,MATCH($E130,'Stats base'!$A$12:$A$14,0))*INDEX('Stats base'!B$18:B$22,MATCH($J130,'Stats base'!$A$18:$A$22,0))*IFERROR(INDEX(Variación!C$3:C$228,MATCH($G130,Variación!$A$3:$A$228,0)),1),0)</f>
        <v>132</v>
      </c>
      <c r="L130" s="20">
        <f>ROUND(INDEX('Stats base'!C$5:C$8,MATCH($C130,'Stats base'!$A$5:$A$8,0))*INDEX('Stats base'!C$12:C$14,MATCH($E130,'Stats base'!$A$12:$A$14,0))*INDEX('Stats base'!C$18:C$22,MATCH($J130,'Stats base'!$A$18:$A$22,0))*IFERROR(INDEX(Variación!D$3:D$228,MATCH($G130,Variación!$A$3:$A$228,0)),1),1)</f>
        <v>9</v>
      </c>
      <c r="M130" s="20">
        <f>ROUND(INDEX('Stats base'!D$5:D$8,MATCH($C130,'Stats base'!$A$5:$A$8,0))*INDEX('Stats base'!D$12:D$14,MATCH($E130,'Stats base'!$A$12:$A$14,0))*INDEX('Stats base'!D$18:D$22,MATCH($J130,'Stats base'!$A$18:$A$22,0))*IFERROR(INDEX(Variación!E$3:E$228,MATCH($G130,Variación!$A$3:$A$228,0)),1),1)</f>
        <v>15.2</v>
      </c>
      <c r="N130" s="20">
        <f>ROUND(INDEX('Stats base'!E$5:E$8,MATCH($C130,'Stats base'!$A$5:$A$8,0))*INDEX('Stats base'!E$12:E$14,MATCH($E130,'Stats base'!$A$12:$A$14,0))*INDEX('Stats base'!E$18:E$22,MATCH($J130,'Stats base'!$A$18:$A$22,0))*IFERROR(INDEX(Variación!F$3:F$228,MATCH($G130,Variación!$A$3:$A$228,0)),1),1)</f>
        <v>9.1</v>
      </c>
      <c r="O130" s="19">
        <f>ROUND(INDEX('Stats base'!F$5:F$8,MATCH($C130,'Stats base'!$A$5:$A$8,0))*INDEX('Stats base'!F$12:F$14,MATCH($E130,'Stats base'!$A$12:$A$14,0))*INDEX('Stats base'!F$18:F$22,MATCH($J130,'Stats base'!$A$18:$A$22,0))*IFERROR(INDEX(Variación!G$3:G$228,MATCH($G130,Variación!$A$3:$A$228,0)),1),0)</f>
        <v>88</v>
      </c>
      <c r="P130" s="21">
        <f>MIN('Stats base'!$G$30,ROUND(INDEX('Stats base'!G$5:G$8,MATCH($C130,'Stats base'!$A$5:$A$8,0))*INDEX('Stats base'!G$12:G$14,MATCH($E130,'Stats base'!$A$12:$A$14,0))*INDEX('Stats base'!G$18:G$22,MATCH($J130,'Stats base'!$A$18:$A$22,0))*IFERROR(INDEX(Variación!H$3:H$228,MATCH($G130,Variación!$A$3:$A$228,0)),1),3))</f>
        <v>1.4E-2</v>
      </c>
    </row>
    <row r="131" spans="1:16" ht="34.5" hidden="1" customHeight="1" x14ac:dyDescent="0.25">
      <c r="A131" s="15" t="s">
        <v>439</v>
      </c>
      <c r="B131" s="15" t="s">
        <v>440</v>
      </c>
      <c r="C131" s="16" t="s">
        <v>58</v>
      </c>
      <c r="D131" s="17" t="s">
        <v>29</v>
      </c>
      <c r="E131" s="16" t="s">
        <v>30</v>
      </c>
      <c r="F131" s="16" t="s">
        <v>48</v>
      </c>
      <c r="G131" s="18" t="s">
        <v>441</v>
      </c>
      <c r="H131" s="18"/>
      <c r="I131" s="18" t="s">
        <v>402</v>
      </c>
      <c r="J131" s="18" t="s">
        <v>50</v>
      </c>
      <c r="K131" s="19">
        <f>ROUND(INDEX('Stats base'!B$5:B$8,MATCH($C131,'Stats base'!$A$5:$A$8,0))*INDEX('Stats base'!B$12:B$14,MATCH($E131,'Stats base'!$A$12:$A$14,0))*INDEX('Stats base'!B$18:B$22,MATCH($J131,'Stats base'!$A$18:$A$22,0))*IFERROR(INDEX(Variación!C$3:C$228,MATCH($G131,Variación!$A$3:$A$228,0)),1),0)</f>
        <v>98</v>
      </c>
      <c r="L131" s="20">
        <f>ROUND(INDEX('Stats base'!C$5:C$8,MATCH($C131,'Stats base'!$A$5:$A$8,0))*INDEX('Stats base'!C$12:C$14,MATCH($E131,'Stats base'!$A$12:$A$14,0))*INDEX('Stats base'!C$18:C$22,MATCH($J131,'Stats base'!$A$18:$A$22,0))*IFERROR(INDEX(Variación!D$3:D$228,MATCH($G131,Variación!$A$3:$A$228,0)),1),1)</f>
        <v>9.8000000000000007</v>
      </c>
      <c r="M131" s="20">
        <f>ROUND(INDEX('Stats base'!D$5:D$8,MATCH($C131,'Stats base'!$A$5:$A$8,0))*INDEX('Stats base'!D$12:D$14,MATCH($E131,'Stats base'!$A$12:$A$14,0))*INDEX('Stats base'!D$18:D$22,MATCH($J131,'Stats base'!$A$18:$A$22,0))*IFERROR(INDEX(Variación!E$3:E$228,MATCH($G131,Variación!$A$3:$A$228,0)),1),1)</f>
        <v>16.5</v>
      </c>
      <c r="N131" s="20">
        <f>ROUND(INDEX('Stats base'!E$5:E$8,MATCH($C131,'Stats base'!$A$5:$A$8,0))*INDEX('Stats base'!E$12:E$14,MATCH($E131,'Stats base'!$A$12:$A$14,0))*INDEX('Stats base'!E$18:E$22,MATCH($J131,'Stats base'!$A$18:$A$22,0))*IFERROR(INDEX(Variación!F$3:F$228,MATCH($G131,Variación!$A$3:$A$228,0)),1),1)</f>
        <v>4.4000000000000004</v>
      </c>
      <c r="O131" s="19">
        <f>ROUND(INDEX('Stats base'!F$5:F$8,MATCH($C131,'Stats base'!$A$5:$A$8,0))*INDEX('Stats base'!F$12:F$14,MATCH($E131,'Stats base'!$A$12:$A$14,0))*INDEX('Stats base'!F$18:F$22,MATCH($J131,'Stats base'!$A$18:$A$22,0))*IFERROR(INDEX(Variación!G$3:G$228,MATCH($G131,Variación!$A$3:$A$228,0)),1),0)</f>
        <v>106</v>
      </c>
      <c r="P131" s="21">
        <f>MIN('Stats base'!$G$30,ROUND(INDEX('Stats base'!G$5:G$8,MATCH($C131,'Stats base'!$A$5:$A$8,0))*INDEX('Stats base'!G$12:G$14,MATCH($E131,'Stats base'!$A$12:$A$14,0))*INDEX('Stats base'!G$18:G$22,MATCH($J131,'Stats base'!$A$18:$A$22,0))*IFERROR(INDEX(Variación!H$3:H$228,MATCH($G131,Variación!$A$3:$A$228,0)),1),3))</f>
        <v>4.2999999999999997E-2</v>
      </c>
    </row>
    <row r="132" spans="1:16" ht="34.5" customHeight="1" x14ac:dyDescent="0.25">
      <c r="A132" s="15" t="s">
        <v>442</v>
      </c>
      <c r="B132" s="15" t="s">
        <v>443</v>
      </c>
      <c r="C132" s="16" t="s">
        <v>58</v>
      </c>
      <c r="D132" s="17" t="s">
        <v>29</v>
      </c>
      <c r="E132" s="16" t="s">
        <v>30</v>
      </c>
      <c r="F132" s="16" t="s">
        <v>38</v>
      </c>
      <c r="G132" s="18" t="s">
        <v>444</v>
      </c>
      <c r="H132" s="18"/>
      <c r="I132" s="18" t="s">
        <v>402</v>
      </c>
      <c r="J132" s="18" t="s">
        <v>85</v>
      </c>
      <c r="K132" s="19">
        <f>ROUND(INDEX('Stats base'!B$5:B$8,MATCH($C132,'Stats base'!$A$5:$A$8,0))*INDEX('Stats base'!B$12:B$14,MATCH($E132,'Stats base'!$A$12:$A$14,0))*INDEX('Stats base'!B$18:B$22,MATCH($J132,'Stats base'!$A$18:$A$22,0))*IFERROR(INDEX(Variación!C$3:C$228,MATCH($G132,Variación!$A$3:$A$228,0)),1),0)</f>
        <v>88</v>
      </c>
      <c r="L132" s="20">
        <f>ROUND(INDEX('Stats base'!C$5:C$8,MATCH($C132,'Stats base'!$A$5:$A$8,0))*INDEX('Stats base'!C$12:C$14,MATCH($E132,'Stats base'!$A$12:$A$14,0))*INDEX('Stats base'!C$18:C$22,MATCH($J132,'Stats base'!$A$18:$A$22,0))*IFERROR(INDEX(Variación!D$3:D$228,MATCH($G132,Variación!$A$3:$A$228,0)),1),1)</f>
        <v>9.1999999999999993</v>
      </c>
      <c r="M132" s="20">
        <f>ROUND(INDEX('Stats base'!D$5:D$8,MATCH($C132,'Stats base'!$A$5:$A$8,0))*INDEX('Stats base'!D$12:D$14,MATCH($E132,'Stats base'!$A$12:$A$14,0))*INDEX('Stats base'!D$18:D$22,MATCH($J132,'Stats base'!$A$18:$A$22,0))*IFERROR(INDEX(Variación!E$3:E$228,MATCH($G132,Variación!$A$3:$A$228,0)),1),1)</f>
        <v>16.600000000000001</v>
      </c>
      <c r="N132" s="20">
        <f>ROUND(INDEX('Stats base'!E$5:E$8,MATCH($C132,'Stats base'!$A$5:$A$8,0))*INDEX('Stats base'!E$12:E$14,MATCH($E132,'Stats base'!$A$12:$A$14,0))*INDEX('Stats base'!E$18:E$22,MATCH($J132,'Stats base'!$A$18:$A$22,0))*IFERROR(INDEX(Variación!F$3:F$228,MATCH($G132,Variación!$A$3:$A$228,0)),1),1)</f>
        <v>4</v>
      </c>
      <c r="O132" s="19">
        <f>ROUND(INDEX('Stats base'!F$5:F$8,MATCH($C132,'Stats base'!$A$5:$A$8,0))*INDEX('Stats base'!F$12:F$14,MATCH($E132,'Stats base'!$A$12:$A$14,0))*INDEX('Stats base'!F$18:F$22,MATCH($J132,'Stats base'!$A$18:$A$22,0))*IFERROR(INDEX(Variación!G$3:G$228,MATCH($G132,Variación!$A$3:$A$228,0)),1),0)</f>
        <v>106</v>
      </c>
      <c r="P132" s="21">
        <f>MIN('Stats base'!$G$30,ROUND(INDEX('Stats base'!G$5:G$8,MATCH($C132,'Stats base'!$A$5:$A$8,0))*INDEX('Stats base'!G$12:G$14,MATCH($E132,'Stats base'!$A$12:$A$14,0))*INDEX('Stats base'!G$18:G$22,MATCH($J132,'Stats base'!$A$18:$A$22,0))*IFERROR(INDEX(Variación!H$3:H$228,MATCH($G132,Variación!$A$3:$A$228,0)),1),3))</f>
        <v>3.2000000000000001E-2</v>
      </c>
    </row>
    <row r="133" spans="1:16" ht="34.5" customHeight="1" x14ac:dyDescent="0.25">
      <c r="A133" s="15" t="s">
        <v>445</v>
      </c>
      <c r="B133" s="15" t="s">
        <v>446</v>
      </c>
      <c r="C133" s="16" t="s">
        <v>28</v>
      </c>
      <c r="D133" s="17" t="s">
        <v>29</v>
      </c>
      <c r="E133" s="16" t="s">
        <v>30</v>
      </c>
      <c r="F133" s="16" t="s">
        <v>38</v>
      </c>
      <c r="G133" s="18" t="s">
        <v>447</v>
      </c>
      <c r="H133" s="18"/>
      <c r="I133" s="18" t="s">
        <v>402</v>
      </c>
      <c r="J133" s="18" t="s">
        <v>85</v>
      </c>
      <c r="K133" s="19">
        <f>ROUND(INDEX('Stats base'!B$5:B$8,MATCH($C133,'Stats base'!$A$5:$A$8,0))*INDEX('Stats base'!B$12:B$14,MATCH($E133,'Stats base'!$A$12:$A$14,0))*INDEX('Stats base'!B$18:B$22,MATCH($J133,'Stats base'!$A$18:$A$22,0))*IFERROR(INDEX(Variación!C$3:C$228,MATCH($G133,Variación!$A$3:$A$228,0)),1),0)</f>
        <v>124</v>
      </c>
      <c r="L133" s="20">
        <f>ROUND(INDEX('Stats base'!C$5:C$8,MATCH($C133,'Stats base'!$A$5:$A$8,0))*INDEX('Stats base'!C$12:C$14,MATCH($E133,'Stats base'!$A$12:$A$14,0))*INDEX('Stats base'!C$18:C$22,MATCH($J133,'Stats base'!$A$18:$A$22,0))*IFERROR(INDEX(Variación!D$3:D$228,MATCH($G133,Variación!$A$3:$A$228,0)),1),1)</f>
        <v>6.9</v>
      </c>
      <c r="M133" s="20">
        <f>ROUND(INDEX('Stats base'!D$5:D$8,MATCH($C133,'Stats base'!$A$5:$A$8,0))*INDEX('Stats base'!D$12:D$14,MATCH($E133,'Stats base'!$A$12:$A$14,0))*INDEX('Stats base'!D$18:D$22,MATCH($J133,'Stats base'!$A$18:$A$22,0))*IFERROR(INDEX(Variación!E$3:E$228,MATCH($G133,Variación!$A$3:$A$228,0)),1),1)</f>
        <v>15.3</v>
      </c>
      <c r="N133" s="20">
        <f>ROUND(INDEX('Stats base'!E$5:E$8,MATCH($C133,'Stats base'!$A$5:$A$8,0))*INDEX('Stats base'!E$12:E$14,MATCH($E133,'Stats base'!$A$12:$A$14,0))*INDEX('Stats base'!E$18:E$22,MATCH($J133,'Stats base'!$A$18:$A$22,0))*IFERROR(INDEX(Variación!F$3:F$228,MATCH($G133,Variación!$A$3:$A$228,0)),1),1)</f>
        <v>7.8</v>
      </c>
      <c r="O133" s="19">
        <f>ROUND(INDEX('Stats base'!F$5:F$8,MATCH($C133,'Stats base'!$A$5:$A$8,0))*INDEX('Stats base'!F$12:F$14,MATCH($E133,'Stats base'!$A$12:$A$14,0))*INDEX('Stats base'!F$18:F$22,MATCH($J133,'Stats base'!$A$18:$A$22,0))*IFERROR(INDEX(Variación!G$3:G$228,MATCH($G133,Variación!$A$3:$A$228,0)),1),0)</f>
        <v>88</v>
      </c>
      <c r="P133" s="21">
        <f>MIN('Stats base'!$G$30,ROUND(INDEX('Stats base'!G$5:G$8,MATCH($C133,'Stats base'!$A$5:$A$8,0))*INDEX('Stats base'!G$12:G$14,MATCH($E133,'Stats base'!$A$12:$A$14,0))*INDEX('Stats base'!G$18:G$22,MATCH($J133,'Stats base'!$A$18:$A$22,0))*IFERROR(INDEX(Variación!H$3:H$228,MATCH($G133,Variación!$A$3:$A$228,0)),1),3))</f>
        <v>8.0000000000000002E-3</v>
      </c>
    </row>
    <row r="134" spans="1:16" ht="34.5" hidden="1" customHeight="1" x14ac:dyDescent="0.25">
      <c r="A134" s="15" t="s">
        <v>448</v>
      </c>
      <c r="B134" s="15" t="s">
        <v>449</v>
      </c>
      <c r="C134" s="16" t="s">
        <v>28</v>
      </c>
      <c r="D134" s="17" t="s">
        <v>29</v>
      </c>
      <c r="E134" s="16" t="s">
        <v>30</v>
      </c>
      <c r="F134" s="16" t="s">
        <v>54</v>
      </c>
      <c r="G134" s="18" t="s">
        <v>450</v>
      </c>
      <c r="H134" s="18"/>
      <c r="I134" s="18" t="s">
        <v>451</v>
      </c>
      <c r="J134" s="18" t="s">
        <v>45</v>
      </c>
      <c r="K134" s="19">
        <f>ROUND(INDEX('Stats base'!B$5:B$8,MATCH($C134,'Stats base'!$A$5:$A$8,0))*INDEX('Stats base'!B$12:B$14,MATCH($E134,'Stats base'!$A$12:$A$14,0))*INDEX('Stats base'!B$18:B$22,MATCH($J134,'Stats base'!$A$18:$A$22,0))*IFERROR(INDEX(Variación!C$3:C$228,MATCH($G134,Variación!$A$3:$A$228,0)),1),0)</f>
        <v>149</v>
      </c>
      <c r="L134" s="20">
        <f>ROUND(INDEX('Stats base'!C$5:C$8,MATCH($C134,'Stats base'!$A$5:$A$8,0))*INDEX('Stats base'!C$12:C$14,MATCH($E134,'Stats base'!$A$12:$A$14,0))*INDEX('Stats base'!C$18:C$22,MATCH($J134,'Stats base'!$A$18:$A$22,0))*IFERROR(INDEX(Variación!D$3:D$228,MATCH($G134,Variación!$A$3:$A$228,0)),1),1)</f>
        <v>11.8</v>
      </c>
      <c r="M134" s="20">
        <f>ROUND(INDEX('Stats base'!D$5:D$8,MATCH($C134,'Stats base'!$A$5:$A$8,0))*INDEX('Stats base'!D$12:D$14,MATCH($E134,'Stats base'!$A$12:$A$14,0))*INDEX('Stats base'!D$18:D$22,MATCH($J134,'Stats base'!$A$18:$A$22,0))*IFERROR(INDEX(Variación!E$3:E$228,MATCH($G134,Variación!$A$3:$A$228,0)),1),1)</f>
        <v>24.8</v>
      </c>
      <c r="N134" s="20">
        <f>ROUND(INDEX('Stats base'!E$5:E$8,MATCH($C134,'Stats base'!$A$5:$A$8,0))*INDEX('Stats base'!E$12:E$14,MATCH($E134,'Stats base'!$A$12:$A$14,0))*INDEX('Stats base'!E$18:E$22,MATCH($J134,'Stats base'!$A$18:$A$22,0))*IFERROR(INDEX(Variación!F$3:F$228,MATCH($G134,Variación!$A$3:$A$228,0)),1),1)</f>
        <v>9.5</v>
      </c>
      <c r="O134" s="19">
        <f>ROUND(INDEX('Stats base'!F$5:F$8,MATCH($C134,'Stats base'!$A$5:$A$8,0))*INDEX('Stats base'!F$12:F$14,MATCH($E134,'Stats base'!$A$12:$A$14,0))*INDEX('Stats base'!F$18:F$22,MATCH($J134,'Stats base'!$A$18:$A$22,0))*IFERROR(INDEX(Variación!G$3:G$228,MATCH($G134,Variación!$A$3:$A$228,0)),1),0)</f>
        <v>99</v>
      </c>
      <c r="P134" s="21">
        <f>MIN('Stats base'!$G$30,ROUND(INDEX('Stats base'!G$5:G$8,MATCH($C134,'Stats base'!$A$5:$A$8,0))*INDEX('Stats base'!G$12:G$14,MATCH($E134,'Stats base'!$A$12:$A$14,0))*INDEX('Stats base'!G$18:G$22,MATCH($J134,'Stats base'!$A$18:$A$22,0))*IFERROR(INDEX(Variación!H$3:H$228,MATCH($G134,Variación!$A$3:$A$228,0)),1),3))</f>
        <v>1.6E-2</v>
      </c>
    </row>
    <row r="135" spans="1:16" ht="34.5" customHeight="1" x14ac:dyDescent="0.25">
      <c r="A135" s="15" t="s">
        <v>452</v>
      </c>
      <c r="B135" s="15" t="s">
        <v>453</v>
      </c>
      <c r="C135" s="16" t="s">
        <v>37</v>
      </c>
      <c r="D135" s="17" t="s">
        <v>29</v>
      </c>
      <c r="E135" s="16" t="s">
        <v>30</v>
      </c>
      <c r="F135" s="16" t="s">
        <v>43</v>
      </c>
      <c r="G135" s="18" t="s">
        <v>454</v>
      </c>
      <c r="H135" s="18"/>
      <c r="I135" s="18" t="s">
        <v>451</v>
      </c>
      <c r="J135" s="18" t="s">
        <v>85</v>
      </c>
      <c r="K135" s="19">
        <f>ROUND(INDEX('Stats base'!B$5:B$8,MATCH($C135,'Stats base'!$A$5:$A$8,0))*INDEX('Stats base'!B$12:B$14,MATCH($E135,'Stats base'!$A$12:$A$14,0))*INDEX('Stats base'!B$18:B$22,MATCH($J135,'Stats base'!$A$18:$A$22,0))*IFERROR(INDEX(Variación!C$3:C$228,MATCH($G135,Variación!$A$3:$A$228,0)),1),0)</f>
        <v>139</v>
      </c>
      <c r="L135" s="20">
        <f>ROUND(INDEX('Stats base'!C$5:C$8,MATCH($C135,'Stats base'!$A$5:$A$8,0))*INDEX('Stats base'!C$12:C$14,MATCH($E135,'Stats base'!$A$12:$A$14,0))*INDEX('Stats base'!C$18:C$22,MATCH($J135,'Stats base'!$A$18:$A$22,0))*IFERROR(INDEX(Variación!D$3:D$228,MATCH($G135,Variación!$A$3:$A$228,0)),1),1)</f>
        <v>6.9</v>
      </c>
      <c r="M135" s="20">
        <f>ROUND(INDEX('Stats base'!D$5:D$8,MATCH($C135,'Stats base'!$A$5:$A$8,0))*INDEX('Stats base'!D$12:D$14,MATCH($E135,'Stats base'!$A$12:$A$14,0))*INDEX('Stats base'!D$18:D$22,MATCH($J135,'Stats base'!$A$18:$A$22,0))*IFERROR(INDEX(Variación!E$3:E$228,MATCH($G135,Variación!$A$3:$A$228,0)),1),1)</f>
        <v>12.4</v>
      </c>
      <c r="N135" s="20">
        <f>ROUND(INDEX('Stats base'!E$5:E$8,MATCH($C135,'Stats base'!$A$5:$A$8,0))*INDEX('Stats base'!E$12:E$14,MATCH($E135,'Stats base'!$A$12:$A$14,0))*INDEX('Stats base'!E$18:E$22,MATCH($J135,'Stats base'!$A$18:$A$22,0))*IFERROR(INDEX(Variación!F$3:F$228,MATCH($G135,Variación!$A$3:$A$228,0)),1),1)</f>
        <v>8.3000000000000007</v>
      </c>
      <c r="O135" s="19">
        <f>ROUND(INDEX('Stats base'!F$5:F$8,MATCH($C135,'Stats base'!$A$5:$A$8,0))*INDEX('Stats base'!F$12:F$14,MATCH($E135,'Stats base'!$A$12:$A$14,0))*INDEX('Stats base'!F$18:F$22,MATCH($J135,'Stats base'!$A$18:$A$22,0))*IFERROR(INDEX(Variación!G$3:G$228,MATCH($G135,Variación!$A$3:$A$228,0)),1),0)</f>
        <v>91</v>
      </c>
      <c r="P135" s="21">
        <f>MIN('Stats base'!$G$30,ROUND(INDEX('Stats base'!G$5:G$8,MATCH($C135,'Stats base'!$A$5:$A$8,0))*INDEX('Stats base'!G$12:G$14,MATCH($E135,'Stats base'!$A$12:$A$14,0))*INDEX('Stats base'!G$18:G$22,MATCH($J135,'Stats base'!$A$18:$A$22,0))*IFERROR(INDEX(Variación!H$3:H$228,MATCH($G135,Variación!$A$3:$A$228,0)),1),3))</f>
        <v>1.0999999999999999E-2</v>
      </c>
    </row>
    <row r="136" spans="1:16" ht="34.5" customHeight="1" x14ac:dyDescent="0.25">
      <c r="A136" s="15" t="s">
        <v>455</v>
      </c>
      <c r="B136" s="15" t="s">
        <v>456</v>
      </c>
      <c r="C136" s="16" t="s">
        <v>37</v>
      </c>
      <c r="D136" s="17" t="s">
        <v>29</v>
      </c>
      <c r="E136" s="16" t="s">
        <v>53</v>
      </c>
      <c r="F136" s="16" t="s">
        <v>48</v>
      </c>
      <c r="G136" s="18" t="s">
        <v>457</v>
      </c>
      <c r="H136" s="18"/>
      <c r="I136" s="18" t="s">
        <v>451</v>
      </c>
      <c r="J136" s="18" t="s">
        <v>85</v>
      </c>
      <c r="K136" s="19">
        <f>ROUND(INDEX('Stats base'!B$5:B$8,MATCH($C136,'Stats base'!$A$5:$A$8,0))*INDEX('Stats base'!B$12:B$14,MATCH($E136,'Stats base'!$A$12:$A$14,0))*INDEX('Stats base'!B$18:B$22,MATCH($J136,'Stats base'!$A$18:$A$22,0))*IFERROR(INDEX(Variación!C$3:C$228,MATCH($G136,Variación!$A$3:$A$228,0)),1),0)</f>
        <v>121</v>
      </c>
      <c r="L136" s="20">
        <f>ROUND(INDEX('Stats base'!C$5:C$8,MATCH($C136,'Stats base'!$A$5:$A$8,0))*INDEX('Stats base'!C$12:C$14,MATCH($E136,'Stats base'!$A$12:$A$14,0))*INDEX('Stats base'!C$18:C$22,MATCH($J136,'Stats base'!$A$18:$A$22,0))*IFERROR(INDEX(Variación!D$3:D$228,MATCH($G136,Variación!$A$3:$A$228,0)),1),1)</f>
        <v>7.2</v>
      </c>
      <c r="M136" s="20">
        <f>ROUND(INDEX('Stats base'!D$5:D$8,MATCH($C136,'Stats base'!$A$5:$A$8,0))*INDEX('Stats base'!D$12:D$14,MATCH($E136,'Stats base'!$A$12:$A$14,0))*INDEX('Stats base'!D$18:D$22,MATCH($J136,'Stats base'!$A$18:$A$22,0))*IFERROR(INDEX(Variación!E$3:E$228,MATCH($G136,Variación!$A$3:$A$228,0)),1),1)</f>
        <v>12</v>
      </c>
      <c r="N136" s="20">
        <f>ROUND(INDEX('Stats base'!E$5:E$8,MATCH($C136,'Stats base'!$A$5:$A$8,0))*INDEX('Stats base'!E$12:E$14,MATCH($E136,'Stats base'!$A$12:$A$14,0))*INDEX('Stats base'!E$18:E$22,MATCH($J136,'Stats base'!$A$18:$A$22,0))*IFERROR(INDEX(Variación!F$3:F$228,MATCH($G136,Variación!$A$3:$A$228,0)),1),1)</f>
        <v>7.8</v>
      </c>
      <c r="O136" s="19">
        <f>ROUND(INDEX('Stats base'!F$5:F$8,MATCH($C136,'Stats base'!$A$5:$A$8,0))*INDEX('Stats base'!F$12:F$14,MATCH($E136,'Stats base'!$A$12:$A$14,0))*INDEX('Stats base'!F$18:F$22,MATCH($J136,'Stats base'!$A$18:$A$22,0))*IFERROR(INDEX(Variación!G$3:G$228,MATCH($G136,Variación!$A$3:$A$228,0)),1),0)</f>
        <v>86</v>
      </c>
      <c r="P136" s="21">
        <f>MIN('Stats base'!$G$30,ROUND(INDEX('Stats base'!G$5:G$8,MATCH($C136,'Stats base'!$A$5:$A$8,0))*INDEX('Stats base'!G$12:G$14,MATCH($E136,'Stats base'!$A$12:$A$14,0))*INDEX('Stats base'!G$18:G$22,MATCH($J136,'Stats base'!$A$18:$A$22,0))*IFERROR(INDEX(Variación!H$3:H$228,MATCH($G136,Variación!$A$3:$A$228,0)),1),3))</f>
        <v>1.2E-2</v>
      </c>
    </row>
    <row r="137" spans="1:16" ht="34.5" hidden="1" customHeight="1" x14ac:dyDescent="0.25">
      <c r="A137" s="15" t="s">
        <v>458</v>
      </c>
      <c r="B137" s="15" t="s">
        <v>459</v>
      </c>
      <c r="C137" s="16" t="s">
        <v>37</v>
      </c>
      <c r="D137" s="17" t="s">
        <v>29</v>
      </c>
      <c r="E137" s="16" t="s">
        <v>42</v>
      </c>
      <c r="F137" s="16" t="s">
        <v>75</v>
      </c>
      <c r="G137" s="18" t="s">
        <v>460</v>
      </c>
      <c r="H137" s="18"/>
      <c r="I137" s="18" t="s">
        <v>451</v>
      </c>
      <c r="J137" s="18" t="s">
        <v>70</v>
      </c>
      <c r="K137" s="19">
        <f>ROUND(INDEX('Stats base'!B$5:B$8,MATCH($C137,'Stats base'!$A$5:$A$8,0))*INDEX('Stats base'!B$12:B$14,MATCH($E137,'Stats base'!$A$12:$A$14,0))*INDEX('Stats base'!B$18:B$22,MATCH($J137,'Stats base'!$A$18:$A$22,0))*IFERROR(INDEX(Variación!C$3:C$228,MATCH($G137,Variación!$A$3:$A$228,0)),1),0)</f>
        <v>176</v>
      </c>
      <c r="L137" s="20">
        <f>ROUND(INDEX('Stats base'!C$5:C$8,MATCH($C137,'Stats base'!$A$5:$A$8,0))*INDEX('Stats base'!C$12:C$14,MATCH($E137,'Stats base'!$A$12:$A$14,0))*INDEX('Stats base'!C$18:C$22,MATCH($J137,'Stats base'!$A$18:$A$22,0))*IFERROR(INDEX(Variación!D$3:D$228,MATCH($G137,Variación!$A$3:$A$228,0)),1),1)</f>
        <v>9.1</v>
      </c>
      <c r="M137" s="20">
        <f>ROUND(INDEX('Stats base'!D$5:D$8,MATCH($C137,'Stats base'!$A$5:$A$8,0))*INDEX('Stats base'!D$12:D$14,MATCH($E137,'Stats base'!$A$12:$A$14,0))*INDEX('Stats base'!D$18:D$22,MATCH($J137,'Stats base'!$A$18:$A$22,0))*IFERROR(INDEX(Variación!E$3:E$228,MATCH($G137,Variación!$A$3:$A$228,0)),1),1)</f>
        <v>15.1</v>
      </c>
      <c r="N137" s="20">
        <f>ROUND(INDEX('Stats base'!E$5:E$8,MATCH($C137,'Stats base'!$A$5:$A$8,0))*INDEX('Stats base'!E$12:E$14,MATCH($E137,'Stats base'!$A$12:$A$14,0))*INDEX('Stats base'!E$18:E$22,MATCH($J137,'Stats base'!$A$18:$A$22,0))*IFERROR(INDEX(Variación!F$3:F$228,MATCH($G137,Variación!$A$3:$A$228,0)),1),1)</f>
        <v>10.4</v>
      </c>
      <c r="O137" s="19">
        <f>ROUND(INDEX('Stats base'!F$5:F$8,MATCH($C137,'Stats base'!$A$5:$A$8,0))*INDEX('Stats base'!F$12:F$14,MATCH($E137,'Stats base'!$A$12:$A$14,0))*INDEX('Stats base'!F$18:F$22,MATCH($J137,'Stats base'!$A$18:$A$22,0))*IFERROR(INDEX(Variación!G$3:G$228,MATCH($G137,Variación!$A$3:$A$228,0)),1),0)</f>
        <v>86</v>
      </c>
      <c r="P137" s="21">
        <f>MIN('Stats base'!$G$30,ROUND(INDEX('Stats base'!G$5:G$8,MATCH($C137,'Stats base'!$A$5:$A$8,0))*INDEX('Stats base'!G$12:G$14,MATCH($E137,'Stats base'!$A$12:$A$14,0))*INDEX('Stats base'!G$18:G$22,MATCH($J137,'Stats base'!$A$18:$A$22,0))*IFERROR(INDEX(Variación!H$3:H$228,MATCH($G137,Variación!$A$3:$A$228,0)),1),3))</f>
        <v>1.4999999999999999E-2</v>
      </c>
    </row>
    <row r="138" spans="1:16" ht="34.5" customHeight="1" x14ac:dyDescent="0.25">
      <c r="A138" s="15" t="s">
        <v>461</v>
      </c>
      <c r="B138" s="15" t="s">
        <v>462</v>
      </c>
      <c r="C138" s="16" t="s">
        <v>37</v>
      </c>
      <c r="D138" s="17" t="s">
        <v>29</v>
      </c>
      <c r="E138" s="16" t="s">
        <v>30</v>
      </c>
      <c r="F138" s="16" t="s">
        <v>54</v>
      </c>
      <c r="G138" s="18" t="s">
        <v>463</v>
      </c>
      <c r="H138" s="18"/>
      <c r="I138" s="18" t="s">
        <v>451</v>
      </c>
      <c r="J138" s="18" t="s">
        <v>85</v>
      </c>
      <c r="K138" s="19">
        <f>ROUND(INDEX('Stats base'!B$5:B$8,MATCH($C138,'Stats base'!$A$5:$A$8,0))*INDEX('Stats base'!B$12:B$14,MATCH($E138,'Stats base'!$A$12:$A$14,0))*INDEX('Stats base'!B$18:B$22,MATCH($J138,'Stats base'!$A$18:$A$22,0))*IFERROR(INDEX(Variación!C$3:C$228,MATCH($G138,Variación!$A$3:$A$228,0)),1),0)</f>
        <v>119</v>
      </c>
      <c r="L138" s="20">
        <f>ROUND(INDEX('Stats base'!C$5:C$8,MATCH($C138,'Stats base'!$A$5:$A$8,0))*INDEX('Stats base'!C$12:C$14,MATCH($E138,'Stats base'!$A$12:$A$14,0))*INDEX('Stats base'!C$18:C$22,MATCH($J138,'Stats base'!$A$18:$A$22,0))*IFERROR(INDEX(Variación!D$3:D$228,MATCH($G138,Variación!$A$3:$A$228,0)),1),1)</f>
        <v>7</v>
      </c>
      <c r="M138" s="20">
        <f>ROUND(INDEX('Stats base'!D$5:D$8,MATCH($C138,'Stats base'!$A$5:$A$8,0))*INDEX('Stats base'!D$12:D$14,MATCH($E138,'Stats base'!$A$12:$A$14,0))*INDEX('Stats base'!D$18:D$22,MATCH($J138,'Stats base'!$A$18:$A$22,0))*IFERROR(INDEX(Variación!E$3:E$228,MATCH($G138,Variación!$A$3:$A$228,0)),1),1)</f>
        <v>11.9</v>
      </c>
      <c r="N138" s="20">
        <f>ROUND(INDEX('Stats base'!E$5:E$8,MATCH($C138,'Stats base'!$A$5:$A$8,0))*INDEX('Stats base'!E$12:E$14,MATCH($E138,'Stats base'!$A$12:$A$14,0))*INDEX('Stats base'!E$18:E$22,MATCH($J138,'Stats base'!$A$18:$A$22,0))*IFERROR(INDEX(Variación!F$3:F$228,MATCH($G138,Variación!$A$3:$A$228,0)),1),1)</f>
        <v>7.6</v>
      </c>
      <c r="O138" s="19">
        <f>ROUND(INDEX('Stats base'!F$5:F$8,MATCH($C138,'Stats base'!$A$5:$A$8,0))*INDEX('Stats base'!F$12:F$14,MATCH($E138,'Stats base'!$A$12:$A$14,0))*INDEX('Stats base'!F$18:F$22,MATCH($J138,'Stats base'!$A$18:$A$22,0))*IFERROR(INDEX(Variación!G$3:G$228,MATCH($G138,Variación!$A$3:$A$228,0)),1),0)</f>
        <v>94</v>
      </c>
      <c r="P138" s="21">
        <f>MIN('Stats base'!$G$30,ROUND(INDEX('Stats base'!G$5:G$8,MATCH($C138,'Stats base'!$A$5:$A$8,0))*INDEX('Stats base'!G$12:G$14,MATCH($E138,'Stats base'!$A$12:$A$14,0))*INDEX('Stats base'!G$18:G$22,MATCH($J138,'Stats base'!$A$18:$A$22,0))*IFERROR(INDEX(Variación!H$3:H$228,MATCH($G138,Variación!$A$3:$A$228,0)),1),3))</f>
        <v>1.2E-2</v>
      </c>
    </row>
    <row r="139" spans="1:16" ht="34.5" hidden="1" customHeight="1" x14ac:dyDescent="0.25">
      <c r="A139" s="15" t="s">
        <v>464</v>
      </c>
      <c r="B139" s="15" t="s">
        <v>465</v>
      </c>
      <c r="C139" s="16" t="s">
        <v>58</v>
      </c>
      <c r="D139" s="17" t="s">
        <v>29</v>
      </c>
      <c r="E139" s="16" t="s">
        <v>30</v>
      </c>
      <c r="F139" s="16" t="s">
        <v>43</v>
      </c>
      <c r="G139" s="18" t="s">
        <v>466</v>
      </c>
      <c r="H139" s="18"/>
      <c r="I139" s="18" t="s">
        <v>451</v>
      </c>
      <c r="J139" s="18" t="s">
        <v>50</v>
      </c>
      <c r="K139" s="19">
        <f>ROUND(INDEX('Stats base'!B$5:B$8,MATCH($C139,'Stats base'!$A$5:$A$8,0))*INDEX('Stats base'!B$12:B$14,MATCH($E139,'Stats base'!$A$12:$A$14,0))*INDEX('Stats base'!B$18:B$22,MATCH($J139,'Stats base'!$A$18:$A$22,0))*IFERROR(INDEX(Variación!C$3:C$228,MATCH($G139,Variación!$A$3:$A$228,0)),1),0)</f>
        <v>98</v>
      </c>
      <c r="L139" s="20">
        <f>ROUND(INDEX('Stats base'!C$5:C$8,MATCH($C139,'Stats base'!$A$5:$A$8,0))*INDEX('Stats base'!C$12:C$14,MATCH($E139,'Stats base'!$A$12:$A$14,0))*INDEX('Stats base'!C$18:C$22,MATCH($J139,'Stats base'!$A$18:$A$22,0))*IFERROR(INDEX(Variación!D$3:D$228,MATCH($G139,Variación!$A$3:$A$228,0)),1),1)</f>
        <v>10.7</v>
      </c>
      <c r="M139" s="20">
        <f>ROUND(INDEX('Stats base'!D$5:D$8,MATCH($C139,'Stats base'!$A$5:$A$8,0))*INDEX('Stats base'!D$12:D$14,MATCH($E139,'Stats base'!$A$12:$A$14,0))*INDEX('Stats base'!D$18:D$22,MATCH($J139,'Stats base'!$A$18:$A$22,0))*IFERROR(INDEX(Variación!E$3:E$228,MATCH($G139,Variación!$A$3:$A$228,0)),1),1)</f>
        <v>17.2</v>
      </c>
      <c r="N139" s="20">
        <f>ROUND(INDEX('Stats base'!E$5:E$8,MATCH($C139,'Stats base'!$A$5:$A$8,0))*INDEX('Stats base'!E$12:E$14,MATCH($E139,'Stats base'!$A$12:$A$14,0))*INDEX('Stats base'!E$18:E$22,MATCH($J139,'Stats base'!$A$18:$A$22,0))*IFERROR(INDEX(Variación!F$3:F$228,MATCH($G139,Variación!$A$3:$A$228,0)),1),1)</f>
        <v>4.4000000000000004</v>
      </c>
      <c r="O139" s="19">
        <f>ROUND(INDEX('Stats base'!F$5:F$8,MATCH($C139,'Stats base'!$A$5:$A$8,0))*INDEX('Stats base'!F$12:F$14,MATCH($E139,'Stats base'!$A$12:$A$14,0))*INDEX('Stats base'!F$18:F$22,MATCH($J139,'Stats base'!$A$18:$A$22,0))*IFERROR(INDEX(Variación!G$3:G$228,MATCH($G139,Variación!$A$3:$A$228,0)),1),0)</f>
        <v>122</v>
      </c>
      <c r="P139" s="21">
        <f>MIN('Stats base'!$G$30,ROUND(INDEX('Stats base'!G$5:G$8,MATCH($C139,'Stats base'!$A$5:$A$8,0))*INDEX('Stats base'!G$12:G$14,MATCH($E139,'Stats base'!$A$12:$A$14,0))*INDEX('Stats base'!G$18:G$22,MATCH($J139,'Stats base'!$A$18:$A$22,0))*IFERROR(INDEX(Variación!H$3:H$228,MATCH($G139,Variación!$A$3:$A$228,0)),1),3))</f>
        <v>4.7E-2</v>
      </c>
    </row>
    <row r="140" spans="1:16" ht="34.5" hidden="1" customHeight="1" x14ac:dyDescent="0.25">
      <c r="A140" s="15" t="s">
        <v>467</v>
      </c>
      <c r="B140" s="15" t="s">
        <v>468</v>
      </c>
      <c r="C140" s="16" t="s">
        <v>58</v>
      </c>
      <c r="D140" s="17" t="s">
        <v>29</v>
      </c>
      <c r="E140" s="16" t="s">
        <v>30</v>
      </c>
      <c r="F140" s="16" t="s">
        <v>48</v>
      </c>
      <c r="G140" s="18" t="s">
        <v>469</v>
      </c>
      <c r="H140" s="18"/>
      <c r="I140" s="18" t="s">
        <v>451</v>
      </c>
      <c r="J140" s="18" t="s">
        <v>50</v>
      </c>
      <c r="K140" s="19">
        <f>ROUND(INDEX('Stats base'!B$5:B$8,MATCH($C140,'Stats base'!$A$5:$A$8,0))*INDEX('Stats base'!B$12:B$14,MATCH($E140,'Stats base'!$A$12:$A$14,0))*INDEX('Stats base'!B$18:B$22,MATCH($J140,'Stats base'!$A$18:$A$22,0))*IFERROR(INDEX(Variación!C$3:C$228,MATCH($G140,Variación!$A$3:$A$228,0)),1),0)</f>
        <v>96</v>
      </c>
      <c r="L140" s="20">
        <f>ROUND(INDEX('Stats base'!C$5:C$8,MATCH($C140,'Stats base'!$A$5:$A$8,0))*INDEX('Stats base'!C$12:C$14,MATCH($E140,'Stats base'!$A$12:$A$14,0))*INDEX('Stats base'!C$18:C$22,MATCH($J140,'Stats base'!$A$18:$A$22,0))*IFERROR(INDEX(Variación!D$3:D$228,MATCH($G140,Variación!$A$3:$A$228,0)),1),1)</f>
        <v>9.4</v>
      </c>
      <c r="M140" s="20">
        <f>ROUND(INDEX('Stats base'!D$5:D$8,MATCH($C140,'Stats base'!$A$5:$A$8,0))*INDEX('Stats base'!D$12:D$14,MATCH($E140,'Stats base'!$A$12:$A$14,0))*INDEX('Stats base'!D$18:D$22,MATCH($J140,'Stats base'!$A$18:$A$22,0))*IFERROR(INDEX(Variación!E$3:E$228,MATCH($G140,Variación!$A$3:$A$228,0)),1),1)</f>
        <v>16.8</v>
      </c>
      <c r="N140" s="20">
        <f>ROUND(INDEX('Stats base'!E$5:E$8,MATCH($C140,'Stats base'!$A$5:$A$8,0))*INDEX('Stats base'!E$12:E$14,MATCH($E140,'Stats base'!$A$12:$A$14,0))*INDEX('Stats base'!E$18:E$22,MATCH($J140,'Stats base'!$A$18:$A$22,0))*IFERROR(INDEX(Variación!F$3:F$228,MATCH($G140,Variación!$A$3:$A$228,0)),1),1)</f>
        <v>4.5</v>
      </c>
      <c r="O140" s="19">
        <f>ROUND(INDEX('Stats base'!F$5:F$8,MATCH($C140,'Stats base'!$A$5:$A$8,0))*INDEX('Stats base'!F$12:F$14,MATCH($E140,'Stats base'!$A$12:$A$14,0))*INDEX('Stats base'!F$18:F$22,MATCH($J140,'Stats base'!$A$18:$A$22,0))*IFERROR(INDEX(Variación!G$3:G$228,MATCH($G140,Variación!$A$3:$A$228,0)),1),0)</f>
        <v>109</v>
      </c>
      <c r="P140" s="21">
        <f>MIN('Stats base'!$G$30,ROUND(INDEX('Stats base'!G$5:G$8,MATCH($C140,'Stats base'!$A$5:$A$8,0))*INDEX('Stats base'!G$12:G$14,MATCH($E140,'Stats base'!$A$12:$A$14,0))*INDEX('Stats base'!G$18:G$22,MATCH($J140,'Stats base'!$A$18:$A$22,0))*IFERROR(INDEX(Variación!H$3:H$228,MATCH($G140,Variación!$A$3:$A$228,0)),1),3))</f>
        <v>4.5999999999999999E-2</v>
      </c>
    </row>
    <row r="141" spans="1:16" ht="34.5" hidden="1" customHeight="1" x14ac:dyDescent="0.25">
      <c r="A141" s="15" t="s">
        <v>470</v>
      </c>
      <c r="B141" s="15" t="s">
        <v>471</v>
      </c>
      <c r="C141" s="16" t="s">
        <v>58</v>
      </c>
      <c r="D141" s="17" t="s">
        <v>29</v>
      </c>
      <c r="E141" s="16" t="s">
        <v>30</v>
      </c>
      <c r="F141" s="16" t="s">
        <v>54</v>
      </c>
      <c r="G141" s="18" t="s">
        <v>472</v>
      </c>
      <c r="H141" s="18"/>
      <c r="I141" s="18" t="s">
        <v>451</v>
      </c>
      <c r="J141" s="18" t="s">
        <v>50</v>
      </c>
      <c r="K141" s="19">
        <f>ROUND(INDEX('Stats base'!B$5:B$8,MATCH($C141,'Stats base'!$A$5:$A$8,0))*INDEX('Stats base'!B$12:B$14,MATCH($E141,'Stats base'!$A$12:$A$14,0))*INDEX('Stats base'!B$18:B$22,MATCH($J141,'Stats base'!$A$18:$A$22,0))*IFERROR(INDEX(Variación!C$3:C$228,MATCH($G141,Variación!$A$3:$A$228,0)),1),0)</f>
        <v>105</v>
      </c>
      <c r="L141" s="20">
        <f>ROUND(INDEX('Stats base'!C$5:C$8,MATCH($C141,'Stats base'!$A$5:$A$8,0))*INDEX('Stats base'!C$12:C$14,MATCH($E141,'Stats base'!$A$12:$A$14,0))*INDEX('Stats base'!C$18:C$22,MATCH($J141,'Stats base'!$A$18:$A$22,0))*IFERROR(INDEX(Variación!D$3:D$228,MATCH($G141,Variación!$A$3:$A$228,0)),1),1)</f>
        <v>9.3000000000000007</v>
      </c>
      <c r="M141" s="20">
        <f>ROUND(INDEX('Stats base'!D$5:D$8,MATCH($C141,'Stats base'!$A$5:$A$8,0))*INDEX('Stats base'!D$12:D$14,MATCH($E141,'Stats base'!$A$12:$A$14,0))*INDEX('Stats base'!D$18:D$22,MATCH($J141,'Stats base'!$A$18:$A$22,0))*IFERROR(INDEX(Variación!E$3:E$228,MATCH($G141,Variación!$A$3:$A$228,0)),1),1)</f>
        <v>16.7</v>
      </c>
      <c r="N141" s="20">
        <f>ROUND(INDEX('Stats base'!E$5:E$8,MATCH($C141,'Stats base'!$A$5:$A$8,0))*INDEX('Stats base'!E$12:E$14,MATCH($E141,'Stats base'!$A$12:$A$14,0))*INDEX('Stats base'!E$18:E$22,MATCH($J141,'Stats base'!$A$18:$A$22,0))*IFERROR(INDEX(Variación!F$3:F$228,MATCH($G141,Variación!$A$3:$A$228,0)),1),1)</f>
        <v>4.5999999999999996</v>
      </c>
      <c r="O141" s="19">
        <f>ROUND(INDEX('Stats base'!F$5:F$8,MATCH($C141,'Stats base'!$A$5:$A$8,0))*INDEX('Stats base'!F$12:F$14,MATCH($E141,'Stats base'!$A$12:$A$14,0))*INDEX('Stats base'!F$18:F$22,MATCH($J141,'Stats base'!$A$18:$A$22,0))*IFERROR(INDEX(Variación!G$3:G$228,MATCH($G141,Variación!$A$3:$A$228,0)),1),0)</f>
        <v>118</v>
      </c>
      <c r="P141" s="21">
        <f>MIN('Stats base'!$G$30,ROUND(INDEX('Stats base'!G$5:G$8,MATCH($C141,'Stats base'!$A$5:$A$8,0))*INDEX('Stats base'!G$12:G$14,MATCH($E141,'Stats base'!$A$12:$A$14,0))*INDEX('Stats base'!G$18:G$22,MATCH($J141,'Stats base'!$A$18:$A$22,0))*IFERROR(INDEX(Variación!H$3:H$228,MATCH($G141,Variación!$A$3:$A$228,0)),1),3))</f>
        <v>4.5999999999999999E-2</v>
      </c>
    </row>
    <row r="142" spans="1:16" ht="34.5" hidden="1" customHeight="1" x14ac:dyDescent="0.25">
      <c r="A142" s="15" t="s">
        <v>473</v>
      </c>
      <c r="B142" s="15" t="s">
        <v>474</v>
      </c>
      <c r="C142" s="16" t="s">
        <v>58</v>
      </c>
      <c r="D142" s="17" t="s">
        <v>29</v>
      </c>
      <c r="E142" s="16" t="s">
        <v>30</v>
      </c>
      <c r="F142" s="16" t="s">
        <v>43</v>
      </c>
      <c r="G142" s="18" t="s">
        <v>475</v>
      </c>
      <c r="H142" s="18"/>
      <c r="I142" s="18" t="s">
        <v>451</v>
      </c>
      <c r="J142" s="18" t="s">
        <v>70</v>
      </c>
      <c r="K142" s="19">
        <f>ROUND(INDEX('Stats base'!B$5:B$8,MATCH($C142,'Stats base'!$A$5:$A$8,0))*INDEX('Stats base'!B$12:B$14,MATCH($E142,'Stats base'!$A$12:$A$14,0))*INDEX('Stats base'!B$18:B$22,MATCH($J142,'Stats base'!$A$18:$A$22,0))*IFERROR(INDEX(Variación!C$3:C$228,MATCH($G142,Variación!$A$3:$A$228,0)),1),0)</f>
        <v>108</v>
      </c>
      <c r="L142" s="20">
        <f>ROUND(INDEX('Stats base'!C$5:C$8,MATCH($C142,'Stats base'!$A$5:$A$8,0))*INDEX('Stats base'!C$12:C$14,MATCH($E142,'Stats base'!$A$12:$A$14,0))*INDEX('Stats base'!C$18:C$22,MATCH($J142,'Stats base'!$A$18:$A$22,0))*IFERROR(INDEX(Variación!D$3:D$228,MATCH($G142,Variación!$A$3:$A$228,0)),1),1)</f>
        <v>11.8</v>
      </c>
      <c r="M142" s="20">
        <f>ROUND(INDEX('Stats base'!D$5:D$8,MATCH($C142,'Stats base'!$A$5:$A$8,0))*INDEX('Stats base'!D$12:D$14,MATCH($E142,'Stats base'!$A$12:$A$14,0))*INDEX('Stats base'!D$18:D$22,MATCH($J142,'Stats base'!$A$18:$A$22,0))*IFERROR(INDEX(Variación!E$3:E$228,MATCH($G142,Variación!$A$3:$A$228,0)),1),1)</f>
        <v>21.2</v>
      </c>
      <c r="N142" s="20">
        <f>ROUND(INDEX('Stats base'!E$5:E$8,MATCH($C142,'Stats base'!$A$5:$A$8,0))*INDEX('Stats base'!E$12:E$14,MATCH($E142,'Stats base'!$A$12:$A$14,0))*INDEX('Stats base'!E$18:E$22,MATCH($J142,'Stats base'!$A$18:$A$22,0))*IFERROR(INDEX(Variación!F$3:F$228,MATCH($G142,Variación!$A$3:$A$228,0)),1),1)</f>
        <v>4.4000000000000004</v>
      </c>
      <c r="O142" s="19">
        <f>ROUND(INDEX('Stats base'!F$5:F$8,MATCH($C142,'Stats base'!$A$5:$A$8,0))*INDEX('Stats base'!F$12:F$14,MATCH($E142,'Stats base'!$A$12:$A$14,0))*INDEX('Stats base'!F$18:F$22,MATCH($J142,'Stats base'!$A$18:$A$22,0))*IFERROR(INDEX(Variación!G$3:G$228,MATCH($G142,Variación!$A$3:$A$228,0)),1),0)</f>
        <v>125</v>
      </c>
      <c r="P142" s="21">
        <f>MIN('Stats base'!$G$30,ROUND(INDEX('Stats base'!G$5:G$8,MATCH($C142,'Stats base'!$A$5:$A$8,0))*INDEX('Stats base'!G$12:G$14,MATCH($E142,'Stats base'!$A$12:$A$14,0))*INDEX('Stats base'!G$18:G$22,MATCH($J142,'Stats base'!$A$18:$A$22,0))*IFERROR(INDEX(Variación!H$3:H$228,MATCH($G142,Variación!$A$3:$A$228,0)),1),3))</f>
        <v>5.1999999999999998E-2</v>
      </c>
    </row>
    <row r="143" spans="1:16" ht="34.5" hidden="1" customHeight="1" x14ac:dyDescent="0.25">
      <c r="A143" s="15" t="s">
        <v>476</v>
      </c>
      <c r="B143" s="15" t="s">
        <v>477</v>
      </c>
      <c r="C143" s="16" t="s">
        <v>58</v>
      </c>
      <c r="D143" s="17" t="s">
        <v>29</v>
      </c>
      <c r="E143" s="16" t="s">
        <v>30</v>
      </c>
      <c r="F143" s="16" t="s">
        <v>38</v>
      </c>
      <c r="G143" s="18" t="s">
        <v>478</v>
      </c>
      <c r="H143" s="18"/>
      <c r="I143" s="18" t="s">
        <v>451</v>
      </c>
      <c r="J143" s="18" t="s">
        <v>50</v>
      </c>
      <c r="K143" s="19">
        <f>ROUND(INDEX('Stats base'!B$5:B$8,MATCH($C143,'Stats base'!$A$5:$A$8,0))*INDEX('Stats base'!B$12:B$14,MATCH($E143,'Stats base'!$A$12:$A$14,0))*INDEX('Stats base'!B$18:B$22,MATCH($J143,'Stats base'!$A$18:$A$22,0))*IFERROR(INDEX(Variación!C$3:C$228,MATCH($G143,Variación!$A$3:$A$228,0)),1),0)</f>
        <v>101</v>
      </c>
      <c r="L143" s="20">
        <f>ROUND(INDEX('Stats base'!C$5:C$8,MATCH($C143,'Stats base'!$A$5:$A$8,0))*INDEX('Stats base'!C$12:C$14,MATCH($E143,'Stats base'!$A$12:$A$14,0))*INDEX('Stats base'!C$18:C$22,MATCH($J143,'Stats base'!$A$18:$A$22,0))*IFERROR(INDEX(Variación!D$3:D$228,MATCH($G143,Variación!$A$3:$A$228,0)),1),1)</f>
        <v>9.3000000000000007</v>
      </c>
      <c r="M143" s="20">
        <f>ROUND(INDEX('Stats base'!D$5:D$8,MATCH($C143,'Stats base'!$A$5:$A$8,0))*INDEX('Stats base'!D$12:D$14,MATCH($E143,'Stats base'!$A$12:$A$14,0))*INDEX('Stats base'!D$18:D$22,MATCH($J143,'Stats base'!$A$18:$A$22,0))*IFERROR(INDEX(Variación!E$3:E$228,MATCH($G143,Variación!$A$3:$A$228,0)),1),1)</f>
        <v>16.100000000000001</v>
      </c>
      <c r="N143" s="20">
        <f>ROUND(INDEX('Stats base'!E$5:E$8,MATCH($C143,'Stats base'!$A$5:$A$8,0))*INDEX('Stats base'!E$12:E$14,MATCH($E143,'Stats base'!$A$12:$A$14,0))*INDEX('Stats base'!E$18:E$22,MATCH($J143,'Stats base'!$A$18:$A$22,0))*IFERROR(INDEX(Variación!F$3:F$228,MATCH($G143,Variación!$A$3:$A$228,0)),1),1)</f>
        <v>4.5</v>
      </c>
      <c r="O143" s="19">
        <f>ROUND(INDEX('Stats base'!F$5:F$8,MATCH($C143,'Stats base'!$A$5:$A$8,0))*INDEX('Stats base'!F$12:F$14,MATCH($E143,'Stats base'!$A$12:$A$14,0))*INDEX('Stats base'!F$18:F$22,MATCH($J143,'Stats base'!$A$18:$A$22,0))*IFERROR(INDEX(Variación!G$3:G$228,MATCH($G143,Variación!$A$3:$A$228,0)),1),0)</f>
        <v>107</v>
      </c>
      <c r="P143" s="21">
        <f>MIN('Stats base'!$G$30,ROUND(INDEX('Stats base'!G$5:G$8,MATCH($C143,'Stats base'!$A$5:$A$8,0))*INDEX('Stats base'!G$12:G$14,MATCH($E143,'Stats base'!$A$12:$A$14,0))*INDEX('Stats base'!G$18:G$22,MATCH($J143,'Stats base'!$A$18:$A$22,0))*IFERROR(INDEX(Variación!H$3:H$228,MATCH($G143,Variación!$A$3:$A$228,0)),1),3))</f>
        <v>0.04</v>
      </c>
    </row>
    <row r="144" spans="1:16" ht="34.5" hidden="1" customHeight="1" x14ac:dyDescent="0.25">
      <c r="A144" s="15" t="s">
        <v>479</v>
      </c>
      <c r="B144" s="15" t="s">
        <v>480</v>
      </c>
      <c r="C144" s="16" t="s">
        <v>68</v>
      </c>
      <c r="D144" s="17" t="s">
        <v>29</v>
      </c>
      <c r="E144" s="16" t="s">
        <v>30</v>
      </c>
      <c r="F144" s="16" t="s">
        <v>48</v>
      </c>
      <c r="G144" s="18" t="s">
        <v>481</v>
      </c>
      <c r="H144" s="18"/>
      <c r="I144" s="18" t="s">
        <v>451</v>
      </c>
      <c r="J144" s="18" t="s">
        <v>50</v>
      </c>
      <c r="K144" s="19">
        <f>ROUND(INDEX('Stats base'!B$5:B$8,MATCH($C144,'Stats base'!$A$5:$A$8,0))*INDEX('Stats base'!B$12:B$14,MATCH($E144,'Stats base'!$A$12:$A$14,0))*INDEX('Stats base'!B$18:B$22,MATCH($J144,'Stats base'!$A$18:$A$22,0))*IFERROR(INDEX(Variación!C$3:C$228,MATCH($G144,Variación!$A$3:$A$228,0)),1),0)</f>
        <v>80</v>
      </c>
      <c r="L144" s="20">
        <f>ROUND(INDEX('Stats base'!C$5:C$8,MATCH($C144,'Stats base'!$A$5:$A$8,0))*INDEX('Stats base'!C$12:C$14,MATCH($E144,'Stats base'!$A$12:$A$14,0))*INDEX('Stats base'!C$18:C$22,MATCH($J144,'Stats base'!$A$18:$A$22,0))*IFERROR(INDEX(Variación!D$3:D$228,MATCH($G144,Variación!$A$3:$A$228,0)),1),1)</f>
        <v>13.8</v>
      </c>
      <c r="M144" s="20">
        <f>ROUND(INDEX('Stats base'!D$5:D$8,MATCH($C144,'Stats base'!$A$5:$A$8,0))*INDEX('Stats base'!D$12:D$14,MATCH($E144,'Stats base'!$A$12:$A$14,0))*INDEX('Stats base'!D$18:D$22,MATCH($J144,'Stats base'!$A$18:$A$22,0))*IFERROR(INDEX(Variación!E$3:E$228,MATCH($G144,Variación!$A$3:$A$228,0)),1),1)</f>
        <v>23.7</v>
      </c>
      <c r="N144" s="20">
        <f>ROUND(INDEX('Stats base'!E$5:E$8,MATCH($C144,'Stats base'!$A$5:$A$8,0))*INDEX('Stats base'!E$12:E$14,MATCH($E144,'Stats base'!$A$12:$A$14,0))*INDEX('Stats base'!E$18:E$22,MATCH($J144,'Stats base'!$A$18:$A$22,0))*IFERROR(INDEX(Variación!F$3:F$228,MATCH($G144,Variación!$A$3:$A$228,0)),1),1)</f>
        <v>3</v>
      </c>
      <c r="O144" s="19">
        <f>ROUND(INDEX('Stats base'!F$5:F$8,MATCH($C144,'Stats base'!$A$5:$A$8,0))*INDEX('Stats base'!F$12:F$14,MATCH($E144,'Stats base'!$A$12:$A$14,0))*INDEX('Stats base'!F$18:F$22,MATCH($J144,'Stats base'!$A$18:$A$22,0))*IFERROR(INDEX(Variación!G$3:G$228,MATCH($G144,Variación!$A$3:$A$228,0)),1),0)</f>
        <v>98</v>
      </c>
      <c r="P144" s="21">
        <f>MIN('Stats base'!$G$30,ROUND(INDEX('Stats base'!G$5:G$8,MATCH($C144,'Stats base'!$A$5:$A$8,0))*INDEX('Stats base'!G$12:G$14,MATCH($E144,'Stats base'!$A$12:$A$14,0))*INDEX('Stats base'!G$18:G$22,MATCH($J144,'Stats base'!$A$18:$A$22,0))*IFERROR(INDEX(Variación!H$3:H$228,MATCH($G144,Variación!$A$3:$A$228,0)),1),3))</f>
        <v>2.5000000000000001E-2</v>
      </c>
    </row>
    <row r="145" spans="1:16" ht="34.5" customHeight="1" x14ac:dyDescent="0.25">
      <c r="A145" s="15" t="s">
        <v>482</v>
      </c>
      <c r="B145" s="15" t="s">
        <v>483</v>
      </c>
      <c r="C145" s="16" t="s">
        <v>28</v>
      </c>
      <c r="D145" s="17" t="s">
        <v>29</v>
      </c>
      <c r="E145" s="16" t="s">
        <v>42</v>
      </c>
      <c r="F145" s="16" t="s">
        <v>43</v>
      </c>
      <c r="G145" s="18" t="s">
        <v>484</v>
      </c>
      <c r="H145" s="18"/>
      <c r="I145" s="18" t="s">
        <v>451</v>
      </c>
      <c r="J145" s="18" t="s">
        <v>85</v>
      </c>
      <c r="K145" s="19">
        <f>ROUND(INDEX('Stats base'!B$5:B$8,MATCH($C145,'Stats base'!$A$5:$A$8,0))*INDEX('Stats base'!B$12:B$14,MATCH($E145,'Stats base'!$A$12:$A$14,0))*INDEX('Stats base'!B$18:B$22,MATCH($J145,'Stats base'!$A$18:$A$22,0))*IFERROR(INDEX(Variación!C$3:C$228,MATCH($G145,Variación!$A$3:$A$228,0)),1),0)</f>
        <v>133</v>
      </c>
      <c r="L145" s="20">
        <f>ROUND(INDEX('Stats base'!C$5:C$8,MATCH($C145,'Stats base'!$A$5:$A$8,0))*INDEX('Stats base'!C$12:C$14,MATCH($E145,'Stats base'!$A$12:$A$14,0))*INDEX('Stats base'!C$18:C$22,MATCH($J145,'Stats base'!$A$18:$A$22,0))*IFERROR(INDEX(Variación!D$3:D$228,MATCH($G145,Variación!$A$3:$A$228,0)),1),1)</f>
        <v>8.1</v>
      </c>
      <c r="M145" s="20">
        <f>ROUND(INDEX('Stats base'!D$5:D$8,MATCH($C145,'Stats base'!$A$5:$A$8,0))*INDEX('Stats base'!D$12:D$14,MATCH($E145,'Stats base'!$A$12:$A$14,0))*INDEX('Stats base'!D$18:D$22,MATCH($J145,'Stats base'!$A$18:$A$22,0))*IFERROR(INDEX(Variación!E$3:E$228,MATCH($G145,Variación!$A$3:$A$228,0)),1),1)</f>
        <v>19.100000000000001</v>
      </c>
      <c r="N145" s="20">
        <f>ROUND(INDEX('Stats base'!E$5:E$8,MATCH($C145,'Stats base'!$A$5:$A$8,0))*INDEX('Stats base'!E$12:E$14,MATCH($E145,'Stats base'!$A$12:$A$14,0))*INDEX('Stats base'!E$18:E$22,MATCH($J145,'Stats base'!$A$18:$A$22,0))*IFERROR(INDEX(Variación!F$3:F$228,MATCH($G145,Variación!$A$3:$A$228,0)),1),1)</f>
        <v>8.1</v>
      </c>
      <c r="O145" s="19">
        <f>ROUND(INDEX('Stats base'!F$5:F$8,MATCH($C145,'Stats base'!$A$5:$A$8,0))*INDEX('Stats base'!F$12:F$14,MATCH($E145,'Stats base'!$A$12:$A$14,0))*INDEX('Stats base'!F$18:F$22,MATCH($J145,'Stats base'!$A$18:$A$22,0))*IFERROR(INDEX(Variación!G$3:G$228,MATCH($G145,Variación!$A$3:$A$228,0)),1),0)</f>
        <v>69</v>
      </c>
      <c r="P145" s="21">
        <f>MIN('Stats base'!$G$30,ROUND(INDEX('Stats base'!G$5:G$8,MATCH($C145,'Stats base'!$A$5:$A$8,0))*INDEX('Stats base'!G$12:G$14,MATCH($E145,'Stats base'!$A$12:$A$14,0))*INDEX('Stats base'!G$18:G$22,MATCH($J145,'Stats base'!$A$18:$A$22,0))*IFERROR(INDEX(Variación!H$3:H$228,MATCH($G145,Variación!$A$3:$A$228,0)),1),3))</f>
        <v>6.0000000000000001E-3</v>
      </c>
    </row>
    <row r="146" spans="1:16" ht="34.5" customHeight="1" x14ac:dyDescent="0.25">
      <c r="A146" s="15" t="s">
        <v>485</v>
      </c>
      <c r="B146" s="15" t="s">
        <v>486</v>
      </c>
      <c r="C146" s="16" t="s">
        <v>37</v>
      </c>
      <c r="D146" s="17" t="s">
        <v>29</v>
      </c>
      <c r="E146" s="16" t="s">
        <v>30</v>
      </c>
      <c r="F146" s="16" t="s">
        <v>43</v>
      </c>
      <c r="G146" s="18" t="s">
        <v>487</v>
      </c>
      <c r="H146" s="18"/>
      <c r="I146" s="18" t="s">
        <v>451</v>
      </c>
      <c r="J146" s="18" t="s">
        <v>85</v>
      </c>
      <c r="K146" s="19">
        <f>ROUND(INDEX('Stats base'!B$5:B$8,MATCH($C146,'Stats base'!$A$5:$A$8,0))*INDEX('Stats base'!B$12:B$14,MATCH($E146,'Stats base'!$A$12:$A$14,0))*INDEX('Stats base'!B$18:B$22,MATCH($J146,'Stats base'!$A$18:$A$22,0))*IFERROR(INDEX(Variación!C$3:C$228,MATCH($G146,Variación!$A$3:$A$228,0)),1),0)</f>
        <v>136</v>
      </c>
      <c r="L146" s="20">
        <f>ROUND(INDEX('Stats base'!C$5:C$8,MATCH($C146,'Stats base'!$A$5:$A$8,0))*INDEX('Stats base'!C$12:C$14,MATCH($E146,'Stats base'!$A$12:$A$14,0))*INDEX('Stats base'!C$18:C$22,MATCH($J146,'Stats base'!$A$18:$A$22,0))*IFERROR(INDEX(Variación!D$3:D$228,MATCH($G146,Variación!$A$3:$A$228,0)),1),1)</f>
        <v>6.9</v>
      </c>
      <c r="M146" s="20">
        <f>ROUND(INDEX('Stats base'!D$5:D$8,MATCH($C146,'Stats base'!$A$5:$A$8,0))*INDEX('Stats base'!D$12:D$14,MATCH($E146,'Stats base'!$A$12:$A$14,0))*INDEX('Stats base'!D$18:D$22,MATCH($J146,'Stats base'!$A$18:$A$22,0))*IFERROR(INDEX(Variación!E$3:E$228,MATCH($G146,Variación!$A$3:$A$228,0)),1),1)</f>
        <v>11.3</v>
      </c>
      <c r="N146" s="20">
        <f>ROUND(INDEX('Stats base'!E$5:E$8,MATCH($C146,'Stats base'!$A$5:$A$8,0))*INDEX('Stats base'!E$12:E$14,MATCH($E146,'Stats base'!$A$12:$A$14,0))*INDEX('Stats base'!E$18:E$22,MATCH($J146,'Stats base'!$A$18:$A$22,0))*IFERROR(INDEX(Variación!F$3:F$228,MATCH($G146,Variación!$A$3:$A$228,0)),1),1)</f>
        <v>8.6</v>
      </c>
      <c r="O146" s="19">
        <f>ROUND(INDEX('Stats base'!F$5:F$8,MATCH($C146,'Stats base'!$A$5:$A$8,0))*INDEX('Stats base'!F$12:F$14,MATCH($E146,'Stats base'!$A$12:$A$14,0))*INDEX('Stats base'!F$18:F$22,MATCH($J146,'Stats base'!$A$18:$A$22,0))*IFERROR(INDEX(Variación!G$3:G$228,MATCH($G146,Variación!$A$3:$A$228,0)),1),0)</f>
        <v>100</v>
      </c>
      <c r="P146" s="21">
        <f>MIN('Stats base'!$G$30,ROUND(INDEX('Stats base'!G$5:G$8,MATCH($C146,'Stats base'!$A$5:$A$8,0))*INDEX('Stats base'!G$12:G$14,MATCH($E146,'Stats base'!$A$12:$A$14,0))*INDEX('Stats base'!G$18:G$22,MATCH($J146,'Stats base'!$A$18:$A$22,0))*IFERROR(INDEX(Variación!H$3:H$228,MATCH($G146,Variación!$A$3:$A$228,0)),1),3))</f>
        <v>1.2999999999999999E-2</v>
      </c>
    </row>
    <row r="147" spans="1:16" ht="34.5" hidden="1" customHeight="1" x14ac:dyDescent="0.25">
      <c r="A147" s="15" t="s">
        <v>488</v>
      </c>
      <c r="B147" s="15" t="s">
        <v>489</v>
      </c>
      <c r="C147" s="16" t="s">
        <v>37</v>
      </c>
      <c r="D147" s="17" t="s">
        <v>29</v>
      </c>
      <c r="E147" s="16" t="s">
        <v>53</v>
      </c>
      <c r="F147" s="16" t="s">
        <v>38</v>
      </c>
      <c r="G147" s="18" t="s">
        <v>490</v>
      </c>
      <c r="H147" s="18"/>
      <c r="I147" s="18" t="s">
        <v>451</v>
      </c>
      <c r="J147" s="18" t="s">
        <v>50</v>
      </c>
      <c r="K147" s="19">
        <f>ROUND(INDEX('Stats base'!B$5:B$8,MATCH($C147,'Stats base'!$A$5:$A$8,0))*INDEX('Stats base'!B$12:B$14,MATCH($E147,'Stats base'!$A$12:$A$14,0))*INDEX('Stats base'!B$18:B$22,MATCH($J147,'Stats base'!$A$18:$A$22,0))*IFERROR(INDEX(Variación!C$3:C$228,MATCH($G147,Variación!$A$3:$A$228,0)),1),0)</f>
        <v>127</v>
      </c>
      <c r="L147" s="20">
        <f>ROUND(INDEX('Stats base'!C$5:C$8,MATCH($C147,'Stats base'!$A$5:$A$8,0))*INDEX('Stats base'!C$12:C$14,MATCH($E147,'Stats base'!$A$12:$A$14,0))*INDEX('Stats base'!C$18:C$22,MATCH($J147,'Stats base'!$A$18:$A$22,0))*IFERROR(INDEX(Variación!D$3:D$228,MATCH($G147,Variación!$A$3:$A$228,0)),1),1)</f>
        <v>7.4</v>
      </c>
      <c r="M147" s="20">
        <f>ROUND(INDEX('Stats base'!D$5:D$8,MATCH($C147,'Stats base'!$A$5:$A$8,0))*INDEX('Stats base'!D$12:D$14,MATCH($E147,'Stats base'!$A$12:$A$14,0))*INDEX('Stats base'!D$18:D$22,MATCH($J147,'Stats base'!$A$18:$A$22,0))*IFERROR(INDEX(Variación!E$3:E$228,MATCH($G147,Variación!$A$3:$A$228,0)),1),1)</f>
        <v>13.2</v>
      </c>
      <c r="N147" s="20">
        <f>ROUND(INDEX('Stats base'!E$5:E$8,MATCH($C147,'Stats base'!$A$5:$A$8,0))*INDEX('Stats base'!E$12:E$14,MATCH($E147,'Stats base'!$A$12:$A$14,0))*INDEX('Stats base'!E$18:E$22,MATCH($J147,'Stats base'!$A$18:$A$22,0))*IFERROR(INDEX(Variación!F$3:F$228,MATCH($G147,Variación!$A$3:$A$228,0)),1),1)</f>
        <v>8</v>
      </c>
      <c r="O147" s="19">
        <f>ROUND(INDEX('Stats base'!F$5:F$8,MATCH($C147,'Stats base'!$A$5:$A$8,0))*INDEX('Stats base'!F$12:F$14,MATCH($E147,'Stats base'!$A$12:$A$14,0))*INDEX('Stats base'!F$18:F$22,MATCH($J147,'Stats base'!$A$18:$A$22,0))*IFERROR(INDEX(Variación!G$3:G$228,MATCH($G147,Variación!$A$3:$A$228,0)),1),0)</f>
        <v>100</v>
      </c>
      <c r="P147" s="21">
        <f>MIN('Stats base'!$G$30,ROUND(INDEX('Stats base'!G$5:G$8,MATCH($C147,'Stats base'!$A$5:$A$8,0))*INDEX('Stats base'!G$12:G$14,MATCH($E147,'Stats base'!$A$12:$A$14,0))*INDEX('Stats base'!G$18:G$22,MATCH($J147,'Stats base'!$A$18:$A$22,0))*IFERROR(INDEX(Variación!H$3:H$228,MATCH($G147,Variación!$A$3:$A$228,0)),1),3))</f>
        <v>1.7000000000000001E-2</v>
      </c>
    </row>
    <row r="148" spans="1:16" ht="34.5" hidden="1" customHeight="1" x14ac:dyDescent="0.25">
      <c r="A148" s="15" t="s">
        <v>491</v>
      </c>
      <c r="B148" s="15" t="s">
        <v>492</v>
      </c>
      <c r="C148" s="16" t="s">
        <v>37</v>
      </c>
      <c r="D148" s="17" t="s">
        <v>29</v>
      </c>
      <c r="E148" s="16" t="s">
        <v>42</v>
      </c>
      <c r="F148" s="16" t="s">
        <v>48</v>
      </c>
      <c r="G148" s="18" t="s">
        <v>493</v>
      </c>
      <c r="H148" s="18"/>
      <c r="I148" s="18" t="s">
        <v>451</v>
      </c>
      <c r="J148" s="18" t="s">
        <v>50</v>
      </c>
      <c r="K148" s="19">
        <f>ROUND(INDEX('Stats base'!B$5:B$8,MATCH($C148,'Stats base'!$A$5:$A$8,0))*INDEX('Stats base'!B$12:B$14,MATCH($E148,'Stats base'!$A$12:$A$14,0))*INDEX('Stats base'!B$18:B$22,MATCH($J148,'Stats base'!$A$18:$A$22,0))*IFERROR(INDEX(Variación!C$3:C$228,MATCH($G148,Variación!$A$3:$A$228,0)),1),0)</f>
        <v>160</v>
      </c>
      <c r="L148" s="20">
        <f>ROUND(INDEX('Stats base'!C$5:C$8,MATCH($C148,'Stats base'!$A$5:$A$8,0))*INDEX('Stats base'!C$12:C$14,MATCH($E148,'Stats base'!$A$12:$A$14,0))*INDEX('Stats base'!C$18:C$22,MATCH($J148,'Stats base'!$A$18:$A$22,0))*IFERROR(INDEX(Variación!D$3:D$228,MATCH($G148,Variación!$A$3:$A$228,0)),1),1)</f>
        <v>9.3000000000000007</v>
      </c>
      <c r="M148" s="20">
        <f>ROUND(INDEX('Stats base'!D$5:D$8,MATCH($C148,'Stats base'!$A$5:$A$8,0))*INDEX('Stats base'!D$12:D$14,MATCH($E148,'Stats base'!$A$12:$A$14,0))*INDEX('Stats base'!D$18:D$22,MATCH($J148,'Stats base'!$A$18:$A$22,0))*IFERROR(INDEX(Variación!E$3:E$228,MATCH($G148,Variación!$A$3:$A$228,0)),1),1)</f>
        <v>14.8</v>
      </c>
      <c r="N148" s="20">
        <f>ROUND(INDEX('Stats base'!E$5:E$8,MATCH($C148,'Stats base'!$A$5:$A$8,0))*INDEX('Stats base'!E$12:E$14,MATCH($E148,'Stats base'!$A$12:$A$14,0))*INDEX('Stats base'!E$18:E$22,MATCH($J148,'Stats base'!$A$18:$A$22,0))*IFERROR(INDEX(Variación!F$3:F$228,MATCH($G148,Variación!$A$3:$A$228,0)),1),1)</f>
        <v>10.6</v>
      </c>
      <c r="O148" s="19">
        <f>ROUND(INDEX('Stats base'!F$5:F$8,MATCH($C148,'Stats base'!$A$5:$A$8,0))*INDEX('Stats base'!F$12:F$14,MATCH($E148,'Stats base'!$A$12:$A$14,0))*INDEX('Stats base'!F$18:F$22,MATCH($J148,'Stats base'!$A$18:$A$22,0))*IFERROR(INDEX(Variación!G$3:G$228,MATCH($G148,Variación!$A$3:$A$228,0)),1),0)</f>
        <v>73</v>
      </c>
      <c r="P148" s="21">
        <f>MIN('Stats base'!$G$30,ROUND(INDEX('Stats base'!G$5:G$8,MATCH($C148,'Stats base'!$A$5:$A$8,0))*INDEX('Stats base'!G$12:G$14,MATCH($E148,'Stats base'!$A$12:$A$14,0))*INDEX('Stats base'!G$18:G$22,MATCH($J148,'Stats base'!$A$18:$A$22,0))*IFERROR(INDEX(Variación!H$3:H$228,MATCH($G148,Variación!$A$3:$A$228,0)),1),3))</f>
        <v>1.0999999999999999E-2</v>
      </c>
    </row>
    <row r="149" spans="1:16" ht="34.5" customHeight="1" x14ac:dyDescent="0.25">
      <c r="A149" s="15" t="s">
        <v>494</v>
      </c>
      <c r="B149" s="15" t="s">
        <v>495</v>
      </c>
      <c r="C149" s="16" t="s">
        <v>37</v>
      </c>
      <c r="D149" s="17" t="s">
        <v>29</v>
      </c>
      <c r="E149" s="16" t="s">
        <v>30</v>
      </c>
      <c r="F149" s="16" t="s">
        <v>38</v>
      </c>
      <c r="G149" s="18" t="s">
        <v>496</v>
      </c>
      <c r="H149" s="18"/>
      <c r="I149" s="18" t="s">
        <v>451</v>
      </c>
      <c r="J149" s="18" t="s">
        <v>85</v>
      </c>
      <c r="K149" s="19">
        <f>ROUND(INDEX('Stats base'!B$5:B$8,MATCH($C149,'Stats base'!$A$5:$A$8,0))*INDEX('Stats base'!B$12:B$14,MATCH($E149,'Stats base'!$A$12:$A$14,0))*INDEX('Stats base'!B$18:B$22,MATCH($J149,'Stats base'!$A$18:$A$22,0))*IFERROR(INDEX(Variación!C$3:C$228,MATCH($G149,Variación!$A$3:$A$228,0)),1),0)</f>
        <v>125</v>
      </c>
      <c r="L149" s="20">
        <f>ROUND(INDEX('Stats base'!C$5:C$8,MATCH($C149,'Stats base'!$A$5:$A$8,0))*INDEX('Stats base'!C$12:C$14,MATCH($E149,'Stats base'!$A$12:$A$14,0))*INDEX('Stats base'!C$18:C$22,MATCH($J149,'Stats base'!$A$18:$A$22,0))*IFERROR(INDEX(Variación!D$3:D$228,MATCH($G149,Variación!$A$3:$A$228,0)),1),1)</f>
        <v>6.2</v>
      </c>
      <c r="M149" s="20">
        <f>ROUND(INDEX('Stats base'!D$5:D$8,MATCH($C149,'Stats base'!$A$5:$A$8,0))*INDEX('Stats base'!D$12:D$14,MATCH($E149,'Stats base'!$A$12:$A$14,0))*INDEX('Stats base'!D$18:D$22,MATCH($J149,'Stats base'!$A$18:$A$22,0))*IFERROR(INDEX(Variación!E$3:E$228,MATCH($G149,Variación!$A$3:$A$228,0)),1),1)</f>
        <v>10.199999999999999</v>
      </c>
      <c r="N149" s="20">
        <f>ROUND(INDEX('Stats base'!E$5:E$8,MATCH($C149,'Stats base'!$A$5:$A$8,0))*INDEX('Stats base'!E$12:E$14,MATCH($E149,'Stats base'!$A$12:$A$14,0))*INDEX('Stats base'!E$18:E$22,MATCH($J149,'Stats base'!$A$18:$A$22,0))*IFERROR(INDEX(Variación!F$3:F$228,MATCH($G149,Variación!$A$3:$A$228,0)),1),1)</f>
        <v>8.4</v>
      </c>
      <c r="O149" s="19">
        <f>ROUND(INDEX('Stats base'!F$5:F$8,MATCH($C149,'Stats base'!$A$5:$A$8,0))*INDEX('Stats base'!F$12:F$14,MATCH($E149,'Stats base'!$A$12:$A$14,0))*INDEX('Stats base'!F$18:F$22,MATCH($J149,'Stats base'!$A$18:$A$22,0))*IFERROR(INDEX(Variación!G$3:G$228,MATCH($G149,Variación!$A$3:$A$228,0)),1),0)</f>
        <v>89</v>
      </c>
      <c r="P149" s="21">
        <f>MIN('Stats base'!$G$30,ROUND(INDEX('Stats base'!G$5:G$8,MATCH($C149,'Stats base'!$A$5:$A$8,0))*INDEX('Stats base'!G$12:G$14,MATCH($E149,'Stats base'!$A$12:$A$14,0))*INDEX('Stats base'!G$18:G$22,MATCH($J149,'Stats base'!$A$18:$A$22,0))*IFERROR(INDEX(Variación!H$3:H$228,MATCH($G149,Variación!$A$3:$A$228,0)),1),3))</f>
        <v>1.2E-2</v>
      </c>
    </row>
    <row r="150" spans="1:16" ht="34.5" hidden="1" customHeight="1" x14ac:dyDescent="0.25">
      <c r="A150" s="15" t="s">
        <v>497</v>
      </c>
      <c r="B150" s="15" t="s">
        <v>498</v>
      </c>
      <c r="C150" s="16" t="s">
        <v>28</v>
      </c>
      <c r="D150" s="17" t="s">
        <v>29</v>
      </c>
      <c r="E150" s="16" t="s">
        <v>42</v>
      </c>
      <c r="F150" s="16" t="s">
        <v>54</v>
      </c>
      <c r="G150" s="18" t="s">
        <v>499</v>
      </c>
      <c r="H150" s="18"/>
      <c r="I150" s="18" t="s">
        <v>500</v>
      </c>
      <c r="J150" s="18" t="s">
        <v>70</v>
      </c>
      <c r="K150" s="19">
        <f>ROUND(INDEX('Stats base'!B$5:B$8,MATCH($C150,'Stats base'!$A$5:$A$8,0))*INDEX('Stats base'!B$12:B$14,MATCH($E150,'Stats base'!$A$12:$A$14,0))*INDEX('Stats base'!B$18:B$22,MATCH($J150,'Stats base'!$A$18:$A$22,0))*IFERROR(INDEX(Variación!C$3:C$228,MATCH($G150,Variación!$A$3:$A$228,0)),1),0)</f>
        <v>156</v>
      </c>
      <c r="L150" s="20">
        <f>ROUND(INDEX('Stats base'!C$5:C$8,MATCH($C150,'Stats base'!$A$5:$A$8,0))*INDEX('Stats base'!C$12:C$14,MATCH($E150,'Stats base'!$A$12:$A$14,0))*INDEX('Stats base'!C$18:C$22,MATCH($J150,'Stats base'!$A$18:$A$22,0))*IFERROR(INDEX(Variación!D$3:D$228,MATCH($G150,Variación!$A$3:$A$228,0)),1),1)</f>
        <v>11.4</v>
      </c>
      <c r="M150" s="20">
        <f>ROUND(INDEX('Stats base'!D$5:D$8,MATCH($C150,'Stats base'!$A$5:$A$8,0))*INDEX('Stats base'!D$12:D$14,MATCH($E150,'Stats base'!$A$12:$A$14,0))*INDEX('Stats base'!D$18:D$22,MATCH($J150,'Stats base'!$A$18:$A$22,0))*IFERROR(INDEX(Variación!E$3:E$228,MATCH($G150,Variación!$A$3:$A$228,0)),1),1)</f>
        <v>23.6</v>
      </c>
      <c r="N150" s="20">
        <f>ROUND(INDEX('Stats base'!E$5:E$8,MATCH($C150,'Stats base'!$A$5:$A$8,0))*INDEX('Stats base'!E$12:E$14,MATCH($E150,'Stats base'!$A$12:$A$14,0))*INDEX('Stats base'!E$18:E$22,MATCH($J150,'Stats base'!$A$18:$A$22,0))*IFERROR(INDEX(Variación!F$3:F$228,MATCH($G150,Variación!$A$3:$A$228,0)),1),1)</f>
        <v>9.5</v>
      </c>
      <c r="O150" s="19">
        <f>ROUND(INDEX('Stats base'!F$5:F$8,MATCH($C150,'Stats base'!$A$5:$A$8,0))*INDEX('Stats base'!F$12:F$14,MATCH($E150,'Stats base'!$A$12:$A$14,0))*INDEX('Stats base'!F$18:F$22,MATCH($J150,'Stats base'!$A$18:$A$22,0))*IFERROR(INDEX(Variación!G$3:G$228,MATCH($G150,Variación!$A$3:$A$228,0)),1),0)</f>
        <v>80</v>
      </c>
      <c r="P150" s="21">
        <f>MIN('Stats base'!$G$30,ROUND(INDEX('Stats base'!G$5:G$8,MATCH($C150,'Stats base'!$A$5:$A$8,0))*INDEX('Stats base'!G$12:G$14,MATCH($E150,'Stats base'!$A$12:$A$14,0))*INDEX('Stats base'!G$18:G$22,MATCH($J150,'Stats base'!$A$18:$A$22,0))*IFERROR(INDEX(Variación!H$3:H$228,MATCH($G150,Variación!$A$3:$A$228,0)),1),3))</f>
        <v>0.01</v>
      </c>
    </row>
    <row r="151" spans="1:16" ht="34.5" hidden="1" customHeight="1" x14ac:dyDescent="0.25">
      <c r="A151" s="15" t="s">
        <v>501</v>
      </c>
      <c r="B151" s="15" t="s">
        <v>502</v>
      </c>
      <c r="C151" s="16" t="s">
        <v>37</v>
      </c>
      <c r="D151" s="17" t="s">
        <v>29</v>
      </c>
      <c r="E151" s="16" t="s">
        <v>30</v>
      </c>
      <c r="F151" s="16" t="s">
        <v>54</v>
      </c>
      <c r="G151" s="18" t="s">
        <v>503</v>
      </c>
      <c r="H151" s="18"/>
      <c r="I151" s="18" t="s">
        <v>500</v>
      </c>
      <c r="J151" s="18" t="s">
        <v>70</v>
      </c>
      <c r="K151" s="19">
        <f>ROUND(INDEX('Stats base'!B$5:B$8,MATCH($C151,'Stats base'!$A$5:$A$8,0))*INDEX('Stats base'!B$12:B$14,MATCH($E151,'Stats base'!$A$12:$A$14,0))*INDEX('Stats base'!B$18:B$22,MATCH($J151,'Stats base'!$A$18:$A$22,0))*IFERROR(INDEX(Variación!C$3:C$228,MATCH($G151,Variación!$A$3:$A$228,0)),1),0)</f>
        <v>168</v>
      </c>
      <c r="L151" s="20">
        <f>ROUND(INDEX('Stats base'!C$5:C$8,MATCH($C151,'Stats base'!$A$5:$A$8,0))*INDEX('Stats base'!C$12:C$14,MATCH($E151,'Stats base'!$A$12:$A$14,0))*INDEX('Stats base'!C$18:C$22,MATCH($J151,'Stats base'!$A$18:$A$22,0))*IFERROR(INDEX(Variación!D$3:D$228,MATCH($G151,Variación!$A$3:$A$228,0)),1),1)</f>
        <v>9.1999999999999993</v>
      </c>
      <c r="M151" s="20">
        <f>ROUND(INDEX('Stats base'!D$5:D$8,MATCH($C151,'Stats base'!$A$5:$A$8,0))*INDEX('Stats base'!D$12:D$14,MATCH($E151,'Stats base'!$A$12:$A$14,0))*INDEX('Stats base'!D$18:D$22,MATCH($J151,'Stats base'!$A$18:$A$22,0))*IFERROR(INDEX(Variación!E$3:E$228,MATCH($G151,Variación!$A$3:$A$228,0)),1),1)</f>
        <v>15.5</v>
      </c>
      <c r="N151" s="20">
        <f>ROUND(INDEX('Stats base'!E$5:E$8,MATCH($C151,'Stats base'!$A$5:$A$8,0))*INDEX('Stats base'!E$12:E$14,MATCH($E151,'Stats base'!$A$12:$A$14,0))*INDEX('Stats base'!E$18:E$22,MATCH($J151,'Stats base'!$A$18:$A$22,0))*IFERROR(INDEX(Variación!F$3:F$228,MATCH($G151,Variación!$A$3:$A$228,0)),1),1)</f>
        <v>10.8</v>
      </c>
      <c r="O151" s="19">
        <f>ROUND(INDEX('Stats base'!F$5:F$8,MATCH($C151,'Stats base'!$A$5:$A$8,0))*INDEX('Stats base'!F$12:F$14,MATCH($E151,'Stats base'!$A$12:$A$14,0))*INDEX('Stats base'!F$18:F$22,MATCH($J151,'Stats base'!$A$18:$A$22,0))*IFERROR(INDEX(Variación!G$3:G$228,MATCH($G151,Variación!$A$3:$A$228,0)),1),0)</f>
        <v>92</v>
      </c>
      <c r="P151" s="21">
        <f>MIN('Stats base'!$G$30,ROUND(INDEX('Stats base'!G$5:G$8,MATCH($C151,'Stats base'!$A$5:$A$8,0))*INDEX('Stats base'!G$12:G$14,MATCH($E151,'Stats base'!$A$12:$A$14,0))*INDEX('Stats base'!G$18:G$22,MATCH($J151,'Stats base'!$A$18:$A$22,0))*IFERROR(INDEX(Variación!H$3:H$228,MATCH($G151,Variación!$A$3:$A$228,0)),1),3))</f>
        <v>1.7999999999999999E-2</v>
      </c>
    </row>
    <row r="152" spans="1:16" ht="34.5" hidden="1" customHeight="1" x14ac:dyDescent="0.25">
      <c r="A152" s="15" t="s">
        <v>504</v>
      </c>
      <c r="B152" s="15" t="s">
        <v>505</v>
      </c>
      <c r="C152" s="16" t="s">
        <v>37</v>
      </c>
      <c r="D152" s="17" t="s">
        <v>29</v>
      </c>
      <c r="E152" s="16" t="s">
        <v>30</v>
      </c>
      <c r="F152" s="16" t="s">
        <v>48</v>
      </c>
      <c r="G152" s="18" t="s">
        <v>506</v>
      </c>
      <c r="H152" s="18"/>
      <c r="I152" s="18" t="s">
        <v>500</v>
      </c>
      <c r="J152" s="18" t="s">
        <v>50</v>
      </c>
      <c r="K152" s="19">
        <f>ROUND(INDEX('Stats base'!B$5:B$8,MATCH($C152,'Stats base'!$A$5:$A$8,0))*INDEX('Stats base'!B$12:B$14,MATCH($E152,'Stats base'!$A$12:$A$14,0))*INDEX('Stats base'!B$18:B$22,MATCH($J152,'Stats base'!$A$18:$A$22,0))*IFERROR(INDEX(Variación!C$3:C$228,MATCH($G152,Variación!$A$3:$A$228,0)),1),0)</f>
        <v>132</v>
      </c>
      <c r="L152" s="20">
        <f>ROUND(INDEX('Stats base'!C$5:C$8,MATCH($C152,'Stats base'!$A$5:$A$8,0))*INDEX('Stats base'!C$12:C$14,MATCH($E152,'Stats base'!$A$12:$A$14,0))*INDEX('Stats base'!C$18:C$22,MATCH($J152,'Stats base'!$A$18:$A$22,0))*IFERROR(INDEX(Variación!D$3:D$228,MATCH($G152,Variación!$A$3:$A$228,0)),1),1)</f>
        <v>7.7</v>
      </c>
      <c r="M152" s="20">
        <f>ROUND(INDEX('Stats base'!D$5:D$8,MATCH($C152,'Stats base'!$A$5:$A$8,0))*INDEX('Stats base'!D$12:D$14,MATCH($E152,'Stats base'!$A$12:$A$14,0))*INDEX('Stats base'!D$18:D$22,MATCH($J152,'Stats base'!$A$18:$A$22,0))*IFERROR(INDEX(Variación!E$3:E$228,MATCH($G152,Variación!$A$3:$A$228,0)),1),1)</f>
        <v>12.2</v>
      </c>
      <c r="N152" s="20">
        <f>ROUND(INDEX('Stats base'!E$5:E$8,MATCH($C152,'Stats base'!$A$5:$A$8,0))*INDEX('Stats base'!E$12:E$14,MATCH($E152,'Stats base'!$A$12:$A$14,0))*INDEX('Stats base'!E$18:E$22,MATCH($J152,'Stats base'!$A$18:$A$22,0))*IFERROR(INDEX(Variación!F$3:F$228,MATCH($G152,Variación!$A$3:$A$228,0)),1),1)</f>
        <v>8.4</v>
      </c>
      <c r="O152" s="19">
        <f>ROUND(INDEX('Stats base'!F$5:F$8,MATCH($C152,'Stats base'!$A$5:$A$8,0))*INDEX('Stats base'!F$12:F$14,MATCH($E152,'Stats base'!$A$12:$A$14,0))*INDEX('Stats base'!F$18:F$22,MATCH($J152,'Stats base'!$A$18:$A$22,0))*IFERROR(INDEX(Variación!G$3:G$228,MATCH($G152,Variación!$A$3:$A$228,0)),1),0)</f>
        <v>100</v>
      </c>
      <c r="P152" s="21">
        <f>MIN('Stats base'!$G$30,ROUND(INDEX('Stats base'!G$5:G$8,MATCH($C152,'Stats base'!$A$5:$A$8,0))*INDEX('Stats base'!G$12:G$14,MATCH($E152,'Stats base'!$A$12:$A$14,0))*INDEX('Stats base'!G$18:G$22,MATCH($J152,'Stats base'!$A$18:$A$22,0))*IFERROR(INDEX(Variación!H$3:H$228,MATCH($G152,Variación!$A$3:$A$228,0)),1),3))</f>
        <v>1.6E-2</v>
      </c>
    </row>
    <row r="153" spans="1:16" ht="34.5" hidden="1" customHeight="1" x14ac:dyDescent="0.25">
      <c r="A153" s="15" t="s">
        <v>507</v>
      </c>
      <c r="B153" s="15" t="s">
        <v>508</v>
      </c>
      <c r="C153" s="16" t="s">
        <v>37</v>
      </c>
      <c r="D153" s="17" t="s">
        <v>29</v>
      </c>
      <c r="E153" s="16" t="s">
        <v>42</v>
      </c>
      <c r="F153" s="16" t="s">
        <v>48</v>
      </c>
      <c r="G153" s="18" t="s">
        <v>509</v>
      </c>
      <c r="H153" s="18"/>
      <c r="I153" s="18" t="s">
        <v>500</v>
      </c>
      <c r="J153" s="18" t="s">
        <v>50</v>
      </c>
      <c r="K153" s="19">
        <f>ROUND(INDEX('Stats base'!B$5:B$8,MATCH($C153,'Stats base'!$A$5:$A$8,0))*INDEX('Stats base'!B$12:B$14,MATCH($E153,'Stats base'!$A$12:$A$14,0))*INDEX('Stats base'!B$18:B$22,MATCH($J153,'Stats base'!$A$18:$A$22,0))*IFERROR(INDEX(Variación!C$3:C$228,MATCH($G153,Variación!$A$3:$A$228,0)),1),0)</f>
        <v>147</v>
      </c>
      <c r="L153" s="20">
        <f>ROUND(INDEX('Stats base'!C$5:C$8,MATCH($C153,'Stats base'!$A$5:$A$8,0))*INDEX('Stats base'!C$12:C$14,MATCH($E153,'Stats base'!$A$12:$A$14,0))*INDEX('Stats base'!C$18:C$22,MATCH($J153,'Stats base'!$A$18:$A$22,0))*IFERROR(INDEX(Variación!D$3:D$228,MATCH($G153,Variación!$A$3:$A$228,0)),1),1)</f>
        <v>8.1999999999999993</v>
      </c>
      <c r="M153" s="20">
        <f>ROUND(INDEX('Stats base'!D$5:D$8,MATCH($C153,'Stats base'!$A$5:$A$8,0))*INDEX('Stats base'!D$12:D$14,MATCH($E153,'Stats base'!$A$12:$A$14,0))*INDEX('Stats base'!D$18:D$22,MATCH($J153,'Stats base'!$A$18:$A$22,0))*IFERROR(INDEX(Variación!E$3:E$228,MATCH($G153,Variación!$A$3:$A$228,0)),1),1)</f>
        <v>14.1</v>
      </c>
      <c r="N153" s="20">
        <f>ROUND(INDEX('Stats base'!E$5:E$8,MATCH($C153,'Stats base'!$A$5:$A$8,0))*INDEX('Stats base'!E$12:E$14,MATCH($E153,'Stats base'!$A$12:$A$14,0))*INDEX('Stats base'!E$18:E$22,MATCH($J153,'Stats base'!$A$18:$A$22,0))*IFERROR(INDEX(Variación!F$3:F$228,MATCH($G153,Variación!$A$3:$A$228,0)),1),1)</f>
        <v>9.6999999999999993</v>
      </c>
      <c r="O153" s="19">
        <f>ROUND(INDEX('Stats base'!F$5:F$8,MATCH($C153,'Stats base'!$A$5:$A$8,0))*INDEX('Stats base'!F$12:F$14,MATCH($E153,'Stats base'!$A$12:$A$14,0))*INDEX('Stats base'!F$18:F$22,MATCH($J153,'Stats base'!$A$18:$A$22,0))*IFERROR(INDEX(Variación!G$3:G$228,MATCH($G153,Variación!$A$3:$A$228,0)),1),0)</f>
        <v>82</v>
      </c>
      <c r="P153" s="21">
        <f>MIN('Stats base'!$G$30,ROUND(INDEX('Stats base'!G$5:G$8,MATCH($C153,'Stats base'!$A$5:$A$8,0))*INDEX('Stats base'!G$12:G$14,MATCH($E153,'Stats base'!$A$12:$A$14,0))*INDEX('Stats base'!G$18:G$22,MATCH($J153,'Stats base'!$A$18:$A$22,0))*IFERROR(INDEX(Variación!H$3:H$228,MATCH($G153,Variación!$A$3:$A$228,0)),1),3))</f>
        <v>1.2999999999999999E-2</v>
      </c>
    </row>
    <row r="154" spans="1:16" ht="34.5" hidden="1" customHeight="1" x14ac:dyDescent="0.25">
      <c r="A154" s="15" t="s">
        <v>510</v>
      </c>
      <c r="B154" s="15" t="s">
        <v>511</v>
      </c>
      <c r="C154" s="16" t="s">
        <v>37</v>
      </c>
      <c r="D154" s="17" t="s">
        <v>29</v>
      </c>
      <c r="E154" s="16" t="s">
        <v>30</v>
      </c>
      <c r="F154" s="16" t="s">
        <v>43</v>
      </c>
      <c r="G154" s="18" t="s">
        <v>512</v>
      </c>
      <c r="H154" s="18"/>
      <c r="I154" s="18" t="s">
        <v>500</v>
      </c>
      <c r="J154" s="18" t="s">
        <v>70</v>
      </c>
      <c r="K154" s="19">
        <f>ROUND(INDEX('Stats base'!B$5:B$8,MATCH($C154,'Stats base'!$A$5:$A$8,0))*INDEX('Stats base'!B$12:B$14,MATCH($E154,'Stats base'!$A$12:$A$14,0))*INDEX('Stats base'!B$18:B$22,MATCH($J154,'Stats base'!$A$18:$A$22,0))*IFERROR(INDEX(Variación!C$3:C$228,MATCH($G154,Variación!$A$3:$A$228,0)),1),0)</f>
        <v>134</v>
      </c>
      <c r="L154" s="20">
        <f>ROUND(INDEX('Stats base'!C$5:C$8,MATCH($C154,'Stats base'!$A$5:$A$8,0))*INDEX('Stats base'!C$12:C$14,MATCH($E154,'Stats base'!$A$12:$A$14,0))*INDEX('Stats base'!C$18:C$22,MATCH($J154,'Stats base'!$A$18:$A$22,0))*IFERROR(INDEX(Variación!D$3:D$228,MATCH($G154,Variación!$A$3:$A$228,0)),1),1)</f>
        <v>9.4</v>
      </c>
      <c r="M154" s="20">
        <f>ROUND(INDEX('Stats base'!D$5:D$8,MATCH($C154,'Stats base'!$A$5:$A$8,0))*INDEX('Stats base'!D$12:D$14,MATCH($E154,'Stats base'!$A$12:$A$14,0))*INDEX('Stats base'!D$18:D$22,MATCH($J154,'Stats base'!$A$18:$A$22,0))*IFERROR(INDEX(Variación!E$3:E$228,MATCH($G154,Variación!$A$3:$A$228,0)),1),1)</f>
        <v>15.6</v>
      </c>
      <c r="N154" s="20">
        <f>ROUND(INDEX('Stats base'!E$5:E$8,MATCH($C154,'Stats base'!$A$5:$A$8,0))*INDEX('Stats base'!E$12:E$14,MATCH($E154,'Stats base'!$A$12:$A$14,0))*INDEX('Stats base'!E$18:E$22,MATCH($J154,'Stats base'!$A$18:$A$22,0))*IFERROR(INDEX(Variación!F$3:F$228,MATCH($G154,Variación!$A$3:$A$228,0)),1),1)</f>
        <v>9.6999999999999993</v>
      </c>
      <c r="O154" s="19">
        <f>ROUND(INDEX('Stats base'!F$5:F$8,MATCH($C154,'Stats base'!$A$5:$A$8,0))*INDEX('Stats base'!F$12:F$14,MATCH($E154,'Stats base'!$A$12:$A$14,0))*INDEX('Stats base'!F$18:F$22,MATCH($J154,'Stats base'!$A$18:$A$22,0))*IFERROR(INDEX(Variación!G$3:G$228,MATCH($G154,Variación!$A$3:$A$228,0)),1),0)</f>
        <v>101</v>
      </c>
      <c r="P154" s="21">
        <f>MIN('Stats base'!$G$30,ROUND(INDEX('Stats base'!G$5:G$8,MATCH($C154,'Stats base'!$A$5:$A$8,0))*INDEX('Stats base'!G$12:G$14,MATCH($E154,'Stats base'!$A$12:$A$14,0))*INDEX('Stats base'!G$18:G$22,MATCH($J154,'Stats base'!$A$18:$A$22,0))*IFERROR(INDEX(Variación!H$3:H$228,MATCH($G154,Variación!$A$3:$A$228,0)),1),3))</f>
        <v>2.1000000000000001E-2</v>
      </c>
    </row>
    <row r="155" spans="1:16" ht="34.5" hidden="1" customHeight="1" x14ac:dyDescent="0.25">
      <c r="A155" s="15" t="s">
        <v>513</v>
      </c>
      <c r="B155" s="15" t="s">
        <v>514</v>
      </c>
      <c r="C155" s="16" t="s">
        <v>58</v>
      </c>
      <c r="D155" s="17" t="s">
        <v>29</v>
      </c>
      <c r="E155" s="16" t="s">
        <v>53</v>
      </c>
      <c r="F155" s="16" t="s">
        <v>38</v>
      </c>
      <c r="G155" s="18" t="s">
        <v>515</v>
      </c>
      <c r="H155" s="18"/>
      <c r="I155" s="18" t="s">
        <v>500</v>
      </c>
      <c r="J155" s="18" t="s">
        <v>50</v>
      </c>
      <c r="K155" s="19">
        <f>ROUND(INDEX('Stats base'!B$5:B$8,MATCH($C155,'Stats base'!$A$5:$A$8,0))*INDEX('Stats base'!B$12:B$14,MATCH($E155,'Stats base'!$A$12:$A$14,0))*INDEX('Stats base'!B$18:B$22,MATCH($J155,'Stats base'!$A$18:$A$22,0))*IFERROR(INDEX(Variación!C$3:C$228,MATCH($G155,Variación!$A$3:$A$228,0)),1),0)</f>
        <v>91</v>
      </c>
      <c r="L155" s="20">
        <f>ROUND(INDEX('Stats base'!C$5:C$8,MATCH($C155,'Stats base'!$A$5:$A$8,0))*INDEX('Stats base'!C$12:C$14,MATCH($E155,'Stats base'!$A$12:$A$14,0))*INDEX('Stats base'!C$18:C$22,MATCH($J155,'Stats base'!$A$18:$A$22,0))*IFERROR(INDEX(Variación!D$3:D$228,MATCH($G155,Variación!$A$3:$A$228,0)),1),1)</f>
        <v>9.5</v>
      </c>
      <c r="M155" s="20">
        <f>ROUND(INDEX('Stats base'!D$5:D$8,MATCH($C155,'Stats base'!$A$5:$A$8,0))*INDEX('Stats base'!D$12:D$14,MATCH($E155,'Stats base'!$A$12:$A$14,0))*INDEX('Stats base'!D$18:D$22,MATCH($J155,'Stats base'!$A$18:$A$22,0))*IFERROR(INDEX(Variación!E$3:E$228,MATCH($G155,Variación!$A$3:$A$228,0)),1),1)</f>
        <v>15.5</v>
      </c>
      <c r="N155" s="20">
        <f>ROUND(INDEX('Stats base'!E$5:E$8,MATCH($C155,'Stats base'!$A$5:$A$8,0))*INDEX('Stats base'!E$12:E$14,MATCH($E155,'Stats base'!$A$12:$A$14,0))*INDEX('Stats base'!E$18:E$22,MATCH($J155,'Stats base'!$A$18:$A$22,0))*IFERROR(INDEX(Variación!F$3:F$228,MATCH($G155,Variación!$A$3:$A$228,0)),1),1)</f>
        <v>4.0999999999999996</v>
      </c>
      <c r="O155" s="19">
        <f>ROUND(INDEX('Stats base'!F$5:F$8,MATCH($C155,'Stats base'!$A$5:$A$8,0))*INDEX('Stats base'!F$12:F$14,MATCH($E155,'Stats base'!$A$12:$A$14,0))*INDEX('Stats base'!F$18:F$22,MATCH($J155,'Stats base'!$A$18:$A$22,0))*IFERROR(INDEX(Variación!G$3:G$228,MATCH($G155,Variación!$A$3:$A$228,0)),1),0)</f>
        <v>127</v>
      </c>
      <c r="P155" s="21">
        <f>MIN('Stats base'!$G$30,ROUND(INDEX('Stats base'!G$5:G$8,MATCH($C155,'Stats base'!$A$5:$A$8,0))*INDEX('Stats base'!G$12:G$14,MATCH($E155,'Stats base'!$A$12:$A$14,0))*INDEX('Stats base'!G$18:G$22,MATCH($J155,'Stats base'!$A$18:$A$22,0))*IFERROR(INDEX(Variación!H$3:H$228,MATCH($G155,Variación!$A$3:$A$228,0)),1),3))</f>
        <v>5.2999999999999999E-2</v>
      </c>
    </row>
    <row r="156" spans="1:16" ht="34.5" hidden="1" customHeight="1" x14ac:dyDescent="0.25">
      <c r="A156" s="15" t="s">
        <v>516</v>
      </c>
      <c r="B156" s="15" t="s">
        <v>517</v>
      </c>
      <c r="C156" s="16" t="s">
        <v>58</v>
      </c>
      <c r="D156" s="17" t="s">
        <v>29</v>
      </c>
      <c r="E156" s="16" t="s">
        <v>30</v>
      </c>
      <c r="F156" s="16" t="s">
        <v>48</v>
      </c>
      <c r="G156" s="18" t="s">
        <v>518</v>
      </c>
      <c r="H156" s="18"/>
      <c r="I156" s="18" t="s">
        <v>500</v>
      </c>
      <c r="J156" s="18" t="s">
        <v>50</v>
      </c>
      <c r="K156" s="19">
        <f>ROUND(INDEX('Stats base'!B$5:B$8,MATCH($C156,'Stats base'!$A$5:$A$8,0))*INDEX('Stats base'!B$12:B$14,MATCH($E156,'Stats base'!$A$12:$A$14,0))*INDEX('Stats base'!B$18:B$22,MATCH($J156,'Stats base'!$A$18:$A$22,0))*IFERROR(INDEX(Variación!C$3:C$228,MATCH($G156,Variación!$A$3:$A$228,0)),1),0)</f>
        <v>96</v>
      </c>
      <c r="L156" s="20">
        <f>ROUND(INDEX('Stats base'!C$5:C$8,MATCH($C156,'Stats base'!$A$5:$A$8,0))*INDEX('Stats base'!C$12:C$14,MATCH($E156,'Stats base'!$A$12:$A$14,0))*INDEX('Stats base'!C$18:C$22,MATCH($J156,'Stats base'!$A$18:$A$22,0))*IFERROR(INDEX(Variación!D$3:D$228,MATCH($G156,Variación!$A$3:$A$228,0)),1),1)</f>
        <v>8.6</v>
      </c>
      <c r="M156" s="20">
        <f>ROUND(INDEX('Stats base'!D$5:D$8,MATCH($C156,'Stats base'!$A$5:$A$8,0))*INDEX('Stats base'!D$12:D$14,MATCH($E156,'Stats base'!$A$12:$A$14,0))*INDEX('Stats base'!D$18:D$22,MATCH($J156,'Stats base'!$A$18:$A$22,0))*IFERROR(INDEX(Variación!E$3:E$228,MATCH($G156,Variación!$A$3:$A$228,0)),1),1)</f>
        <v>15.2</v>
      </c>
      <c r="N156" s="20">
        <f>ROUND(INDEX('Stats base'!E$5:E$8,MATCH($C156,'Stats base'!$A$5:$A$8,0))*INDEX('Stats base'!E$12:E$14,MATCH($E156,'Stats base'!$A$12:$A$14,0))*INDEX('Stats base'!E$18:E$22,MATCH($J156,'Stats base'!$A$18:$A$22,0))*IFERROR(INDEX(Variación!F$3:F$228,MATCH($G156,Variación!$A$3:$A$228,0)),1),1)</f>
        <v>4.5999999999999996</v>
      </c>
      <c r="O156" s="19">
        <f>ROUND(INDEX('Stats base'!F$5:F$8,MATCH($C156,'Stats base'!$A$5:$A$8,0))*INDEX('Stats base'!F$12:F$14,MATCH($E156,'Stats base'!$A$12:$A$14,0))*INDEX('Stats base'!F$18:F$22,MATCH($J156,'Stats base'!$A$18:$A$22,0))*IFERROR(INDEX(Variación!G$3:G$228,MATCH($G156,Variación!$A$3:$A$228,0)),1),0)</f>
        <v>116</v>
      </c>
      <c r="P156" s="21">
        <f>MIN('Stats base'!$G$30,ROUND(INDEX('Stats base'!G$5:G$8,MATCH($C156,'Stats base'!$A$5:$A$8,0))*INDEX('Stats base'!G$12:G$14,MATCH($E156,'Stats base'!$A$12:$A$14,0))*INDEX('Stats base'!G$18:G$22,MATCH($J156,'Stats base'!$A$18:$A$22,0))*IFERROR(INDEX(Variación!H$3:H$228,MATCH($G156,Variación!$A$3:$A$228,0)),1),3))</f>
        <v>4.4999999999999998E-2</v>
      </c>
    </row>
    <row r="157" spans="1:16" ht="34.5" hidden="1" customHeight="1" x14ac:dyDescent="0.25">
      <c r="A157" s="15" t="s">
        <v>519</v>
      </c>
      <c r="B157" s="15" t="s">
        <v>520</v>
      </c>
      <c r="C157" s="16" t="s">
        <v>58</v>
      </c>
      <c r="D157" s="17" t="s">
        <v>29</v>
      </c>
      <c r="E157" s="16" t="s">
        <v>30</v>
      </c>
      <c r="F157" s="16" t="s">
        <v>48</v>
      </c>
      <c r="G157" s="18" t="s">
        <v>521</v>
      </c>
      <c r="H157" s="18"/>
      <c r="I157" s="18" t="s">
        <v>500</v>
      </c>
      <c r="J157" s="18" t="s">
        <v>50</v>
      </c>
      <c r="K157" s="19">
        <f>ROUND(INDEX('Stats base'!B$5:B$8,MATCH($C157,'Stats base'!$A$5:$A$8,0))*INDEX('Stats base'!B$12:B$14,MATCH($E157,'Stats base'!$A$12:$A$14,0))*INDEX('Stats base'!B$18:B$22,MATCH($J157,'Stats base'!$A$18:$A$22,0))*IFERROR(INDEX(Variación!C$3:C$228,MATCH($G157,Variación!$A$3:$A$228,0)),1),0)</f>
        <v>92</v>
      </c>
      <c r="L157" s="20">
        <f>ROUND(INDEX('Stats base'!C$5:C$8,MATCH($C157,'Stats base'!$A$5:$A$8,0))*INDEX('Stats base'!C$12:C$14,MATCH($E157,'Stats base'!$A$12:$A$14,0))*INDEX('Stats base'!C$18:C$22,MATCH($J157,'Stats base'!$A$18:$A$22,0))*IFERROR(INDEX(Variación!D$3:D$228,MATCH($G157,Variación!$A$3:$A$228,0)),1),1)</f>
        <v>11.3</v>
      </c>
      <c r="M157" s="20">
        <f>ROUND(INDEX('Stats base'!D$5:D$8,MATCH($C157,'Stats base'!$A$5:$A$8,0))*INDEX('Stats base'!D$12:D$14,MATCH($E157,'Stats base'!$A$12:$A$14,0))*INDEX('Stats base'!D$18:D$22,MATCH($J157,'Stats base'!$A$18:$A$22,0))*IFERROR(INDEX(Variación!E$3:E$228,MATCH($G157,Variación!$A$3:$A$228,0)),1),1)</f>
        <v>19.899999999999999</v>
      </c>
      <c r="N157" s="20">
        <f>ROUND(INDEX('Stats base'!E$5:E$8,MATCH($C157,'Stats base'!$A$5:$A$8,0))*INDEX('Stats base'!E$12:E$14,MATCH($E157,'Stats base'!$A$12:$A$14,0))*INDEX('Stats base'!E$18:E$22,MATCH($J157,'Stats base'!$A$18:$A$22,0))*IFERROR(INDEX(Variación!F$3:F$228,MATCH($G157,Variación!$A$3:$A$228,0)),1),1)</f>
        <v>4.0999999999999996</v>
      </c>
      <c r="O157" s="19">
        <f>ROUND(INDEX('Stats base'!F$5:F$8,MATCH($C157,'Stats base'!$A$5:$A$8,0))*INDEX('Stats base'!F$12:F$14,MATCH($E157,'Stats base'!$A$12:$A$14,0))*INDEX('Stats base'!F$18:F$22,MATCH($J157,'Stats base'!$A$18:$A$22,0))*IFERROR(INDEX(Variación!G$3:G$228,MATCH($G157,Variación!$A$3:$A$228,0)),1),0)</f>
        <v>112</v>
      </c>
      <c r="P157" s="21">
        <f>MIN('Stats base'!$G$30,ROUND(INDEX('Stats base'!G$5:G$8,MATCH($C157,'Stats base'!$A$5:$A$8,0))*INDEX('Stats base'!G$12:G$14,MATCH($E157,'Stats base'!$A$12:$A$14,0))*INDEX('Stats base'!G$18:G$22,MATCH($J157,'Stats base'!$A$18:$A$22,0))*IFERROR(INDEX(Variación!H$3:H$228,MATCH($G157,Variación!$A$3:$A$228,0)),1),3))</f>
        <v>4.4999999999999998E-2</v>
      </c>
    </row>
    <row r="158" spans="1:16" ht="34.5" hidden="1" customHeight="1" x14ac:dyDescent="0.25">
      <c r="A158" s="15" t="s">
        <v>522</v>
      </c>
      <c r="B158" s="15" t="s">
        <v>523</v>
      </c>
      <c r="C158" s="16" t="s">
        <v>68</v>
      </c>
      <c r="D158" s="17" t="s">
        <v>29</v>
      </c>
      <c r="E158" s="16" t="s">
        <v>30</v>
      </c>
      <c r="F158" s="16" t="s">
        <v>54</v>
      </c>
      <c r="G158" s="18" t="s">
        <v>524</v>
      </c>
      <c r="H158" s="18"/>
      <c r="I158" s="18" t="s">
        <v>500</v>
      </c>
      <c r="J158" s="18" t="s">
        <v>45</v>
      </c>
      <c r="K158" s="19">
        <f>ROUND(INDEX('Stats base'!B$5:B$8,MATCH($C158,'Stats base'!$A$5:$A$8,0))*INDEX('Stats base'!B$12:B$14,MATCH($E158,'Stats base'!$A$12:$A$14,0))*INDEX('Stats base'!B$18:B$22,MATCH($J158,'Stats base'!$A$18:$A$22,0))*IFERROR(INDEX(Variación!C$3:C$228,MATCH($G158,Variación!$A$3:$A$228,0)),1),0)</f>
        <v>115</v>
      </c>
      <c r="L158" s="20">
        <f>ROUND(INDEX('Stats base'!C$5:C$8,MATCH($C158,'Stats base'!$A$5:$A$8,0))*INDEX('Stats base'!C$12:C$14,MATCH($E158,'Stats base'!$A$12:$A$14,0))*INDEX('Stats base'!C$18:C$22,MATCH($J158,'Stats base'!$A$18:$A$22,0))*IFERROR(INDEX(Variación!D$3:D$228,MATCH($G158,Variación!$A$3:$A$228,0)),1),1)</f>
        <v>17.899999999999999</v>
      </c>
      <c r="M158" s="20">
        <f>ROUND(INDEX('Stats base'!D$5:D$8,MATCH($C158,'Stats base'!$A$5:$A$8,0))*INDEX('Stats base'!D$12:D$14,MATCH($E158,'Stats base'!$A$12:$A$14,0))*INDEX('Stats base'!D$18:D$22,MATCH($J158,'Stats base'!$A$18:$A$22,0))*IFERROR(INDEX(Variación!E$3:E$228,MATCH($G158,Variación!$A$3:$A$228,0)),1),1)</f>
        <v>30.2</v>
      </c>
      <c r="N158" s="20">
        <f>ROUND(INDEX('Stats base'!E$5:E$8,MATCH($C158,'Stats base'!$A$5:$A$8,0))*INDEX('Stats base'!E$12:E$14,MATCH($E158,'Stats base'!$A$12:$A$14,0))*INDEX('Stats base'!E$18:E$22,MATCH($J158,'Stats base'!$A$18:$A$22,0))*IFERROR(INDEX(Variación!F$3:F$228,MATCH($G158,Variación!$A$3:$A$228,0)),1),1)</f>
        <v>4.3</v>
      </c>
      <c r="O158" s="19">
        <f>ROUND(INDEX('Stats base'!F$5:F$8,MATCH($C158,'Stats base'!$A$5:$A$8,0))*INDEX('Stats base'!F$12:F$14,MATCH($E158,'Stats base'!$A$12:$A$14,0))*INDEX('Stats base'!F$18:F$22,MATCH($J158,'Stats base'!$A$18:$A$22,0))*IFERROR(INDEX(Variación!G$3:G$228,MATCH($G158,Variación!$A$3:$A$228,0)),1),0)</f>
        <v>113</v>
      </c>
      <c r="P158" s="21">
        <f>MIN('Stats base'!$G$30,ROUND(INDEX('Stats base'!G$5:G$8,MATCH($C158,'Stats base'!$A$5:$A$8,0))*INDEX('Stats base'!G$12:G$14,MATCH($E158,'Stats base'!$A$12:$A$14,0))*INDEX('Stats base'!G$18:G$22,MATCH($J158,'Stats base'!$A$18:$A$22,0))*IFERROR(INDEX(Variación!H$3:H$228,MATCH($G158,Variación!$A$3:$A$228,0)),1),3))</f>
        <v>3.9E-2</v>
      </c>
    </row>
    <row r="159" spans="1:16" ht="34.5" hidden="1" customHeight="1" x14ac:dyDescent="0.25">
      <c r="A159" s="15" t="s">
        <v>525</v>
      </c>
      <c r="B159" s="15" t="s">
        <v>526</v>
      </c>
      <c r="C159" s="16" t="s">
        <v>68</v>
      </c>
      <c r="D159" s="17" t="s">
        <v>29</v>
      </c>
      <c r="E159" s="16" t="s">
        <v>30</v>
      </c>
      <c r="F159" s="16" t="s">
        <v>38</v>
      </c>
      <c r="G159" s="18" t="s">
        <v>527</v>
      </c>
      <c r="H159" s="18"/>
      <c r="I159" s="18" t="s">
        <v>500</v>
      </c>
      <c r="J159" s="18" t="s">
        <v>45</v>
      </c>
      <c r="K159" s="19">
        <f>ROUND(INDEX('Stats base'!B$5:B$8,MATCH($C159,'Stats base'!$A$5:$A$8,0))*INDEX('Stats base'!B$12:B$14,MATCH($E159,'Stats base'!$A$12:$A$14,0))*INDEX('Stats base'!B$18:B$22,MATCH($J159,'Stats base'!$A$18:$A$22,0))*IFERROR(INDEX(Variación!C$3:C$228,MATCH($G159,Variación!$A$3:$A$228,0)),1),0)</f>
        <v>118</v>
      </c>
      <c r="L159" s="20">
        <f>ROUND(INDEX('Stats base'!C$5:C$8,MATCH($C159,'Stats base'!$A$5:$A$8,0))*INDEX('Stats base'!C$12:C$14,MATCH($E159,'Stats base'!$A$12:$A$14,0))*INDEX('Stats base'!C$18:C$22,MATCH($J159,'Stats base'!$A$18:$A$22,0))*IFERROR(INDEX(Variación!D$3:D$228,MATCH($G159,Variación!$A$3:$A$228,0)),1),1)</f>
        <v>17.7</v>
      </c>
      <c r="M159" s="20">
        <f>ROUND(INDEX('Stats base'!D$5:D$8,MATCH($C159,'Stats base'!$A$5:$A$8,0))*INDEX('Stats base'!D$12:D$14,MATCH($E159,'Stats base'!$A$12:$A$14,0))*INDEX('Stats base'!D$18:D$22,MATCH($J159,'Stats base'!$A$18:$A$22,0))*IFERROR(INDEX(Variación!E$3:E$228,MATCH($G159,Variación!$A$3:$A$228,0)),1),1)</f>
        <v>29.3</v>
      </c>
      <c r="N159" s="20">
        <f>ROUND(INDEX('Stats base'!E$5:E$8,MATCH($C159,'Stats base'!$A$5:$A$8,0))*INDEX('Stats base'!E$12:E$14,MATCH($E159,'Stats base'!$A$12:$A$14,0))*INDEX('Stats base'!E$18:E$22,MATCH($J159,'Stats base'!$A$18:$A$22,0))*IFERROR(INDEX(Variación!F$3:F$228,MATCH($G159,Variación!$A$3:$A$228,0)),1),1)</f>
        <v>4.3</v>
      </c>
      <c r="O159" s="19">
        <f>ROUND(INDEX('Stats base'!F$5:F$8,MATCH($C159,'Stats base'!$A$5:$A$8,0))*INDEX('Stats base'!F$12:F$14,MATCH($E159,'Stats base'!$A$12:$A$14,0))*INDEX('Stats base'!F$18:F$22,MATCH($J159,'Stats base'!$A$18:$A$22,0))*IFERROR(INDEX(Variación!G$3:G$228,MATCH($G159,Variación!$A$3:$A$228,0)),1),0)</f>
        <v>109</v>
      </c>
      <c r="P159" s="21">
        <f>MIN('Stats base'!$G$30,ROUND(INDEX('Stats base'!G$5:G$8,MATCH($C159,'Stats base'!$A$5:$A$8,0))*INDEX('Stats base'!G$12:G$14,MATCH($E159,'Stats base'!$A$12:$A$14,0))*INDEX('Stats base'!G$18:G$22,MATCH($J159,'Stats base'!$A$18:$A$22,0))*IFERROR(INDEX(Variación!H$3:H$228,MATCH($G159,Variación!$A$3:$A$228,0)),1),3))</f>
        <v>3.5999999999999997E-2</v>
      </c>
    </row>
    <row r="160" spans="1:16" ht="34.5" hidden="1" customHeight="1" x14ac:dyDescent="0.25">
      <c r="A160" s="15" t="s">
        <v>528</v>
      </c>
      <c r="B160" s="15" t="s">
        <v>529</v>
      </c>
      <c r="C160" s="16" t="s">
        <v>68</v>
      </c>
      <c r="D160" s="17" t="s">
        <v>29</v>
      </c>
      <c r="E160" s="16" t="s">
        <v>30</v>
      </c>
      <c r="F160" s="16" t="s">
        <v>43</v>
      </c>
      <c r="G160" s="18" t="s">
        <v>530</v>
      </c>
      <c r="H160" s="18"/>
      <c r="I160" s="18" t="s">
        <v>500</v>
      </c>
      <c r="J160" s="18" t="s">
        <v>45</v>
      </c>
      <c r="K160" s="19">
        <f>ROUND(INDEX('Stats base'!B$5:B$8,MATCH($C160,'Stats base'!$A$5:$A$8,0))*INDEX('Stats base'!B$12:B$14,MATCH($E160,'Stats base'!$A$12:$A$14,0))*INDEX('Stats base'!B$18:B$22,MATCH($J160,'Stats base'!$A$18:$A$22,0))*IFERROR(INDEX(Variación!C$3:C$228,MATCH($G160,Variación!$A$3:$A$228,0)),1),0)</f>
        <v>105</v>
      </c>
      <c r="L160" s="20">
        <f>ROUND(INDEX('Stats base'!C$5:C$8,MATCH($C160,'Stats base'!$A$5:$A$8,0))*INDEX('Stats base'!C$12:C$14,MATCH($E160,'Stats base'!$A$12:$A$14,0))*INDEX('Stats base'!C$18:C$22,MATCH($J160,'Stats base'!$A$18:$A$22,0))*IFERROR(INDEX(Variación!D$3:D$228,MATCH($G160,Variación!$A$3:$A$228,0)),1),1)</f>
        <v>19.5</v>
      </c>
      <c r="M160" s="20">
        <f>ROUND(INDEX('Stats base'!D$5:D$8,MATCH($C160,'Stats base'!$A$5:$A$8,0))*INDEX('Stats base'!D$12:D$14,MATCH($E160,'Stats base'!$A$12:$A$14,0))*INDEX('Stats base'!D$18:D$22,MATCH($J160,'Stats base'!$A$18:$A$22,0))*IFERROR(INDEX(Variación!E$3:E$228,MATCH($G160,Variación!$A$3:$A$228,0)),1),1)</f>
        <v>32.200000000000003</v>
      </c>
      <c r="N160" s="20">
        <f>ROUND(INDEX('Stats base'!E$5:E$8,MATCH($C160,'Stats base'!$A$5:$A$8,0))*INDEX('Stats base'!E$12:E$14,MATCH($E160,'Stats base'!$A$12:$A$14,0))*INDEX('Stats base'!E$18:E$22,MATCH($J160,'Stats base'!$A$18:$A$22,0))*IFERROR(INDEX(Variación!F$3:F$228,MATCH($G160,Variación!$A$3:$A$228,0)),1),1)</f>
        <v>4.2</v>
      </c>
      <c r="O160" s="19">
        <f>ROUND(INDEX('Stats base'!F$5:F$8,MATCH($C160,'Stats base'!$A$5:$A$8,0))*INDEX('Stats base'!F$12:F$14,MATCH($E160,'Stats base'!$A$12:$A$14,0))*INDEX('Stats base'!F$18:F$22,MATCH($J160,'Stats base'!$A$18:$A$22,0))*IFERROR(INDEX(Variación!G$3:G$228,MATCH($G160,Variación!$A$3:$A$228,0)),1),0)</f>
        <v>107</v>
      </c>
      <c r="P160" s="21">
        <f>MIN('Stats base'!$G$30,ROUND(INDEX('Stats base'!G$5:G$8,MATCH($C160,'Stats base'!$A$5:$A$8,0))*INDEX('Stats base'!G$12:G$14,MATCH($E160,'Stats base'!$A$12:$A$14,0))*INDEX('Stats base'!G$18:G$22,MATCH($J160,'Stats base'!$A$18:$A$22,0))*IFERROR(INDEX(Variación!H$3:H$228,MATCH($G160,Variación!$A$3:$A$228,0)),1),3))</f>
        <v>3.4000000000000002E-2</v>
      </c>
    </row>
    <row r="161" spans="1:16" ht="34.5" hidden="1" customHeight="1" x14ac:dyDescent="0.25">
      <c r="A161" s="15" t="s">
        <v>531</v>
      </c>
      <c r="B161" s="15" t="s">
        <v>532</v>
      </c>
      <c r="C161" s="16" t="s">
        <v>28</v>
      </c>
      <c r="D161" s="17" t="s">
        <v>29</v>
      </c>
      <c r="E161" s="16" t="s">
        <v>30</v>
      </c>
      <c r="F161" s="16" t="s">
        <v>48</v>
      </c>
      <c r="G161" s="18" t="s">
        <v>533</v>
      </c>
      <c r="H161" s="18"/>
      <c r="I161" s="18" t="s">
        <v>500</v>
      </c>
      <c r="J161" s="18" t="s">
        <v>50</v>
      </c>
      <c r="K161" s="19">
        <f>ROUND(INDEX('Stats base'!B$5:B$8,MATCH($C161,'Stats base'!$A$5:$A$8,0))*INDEX('Stats base'!B$12:B$14,MATCH($E161,'Stats base'!$A$12:$A$14,0))*INDEX('Stats base'!B$18:B$22,MATCH($J161,'Stats base'!$A$18:$A$22,0))*IFERROR(INDEX(Variación!C$3:C$228,MATCH($G161,Variación!$A$3:$A$228,0)),1),0)</f>
        <v>125</v>
      </c>
      <c r="L161" s="20">
        <f>ROUND(INDEX('Stats base'!C$5:C$8,MATCH($C161,'Stats base'!$A$5:$A$8,0))*INDEX('Stats base'!C$12:C$14,MATCH($E161,'Stats base'!$A$12:$A$14,0))*INDEX('Stats base'!C$18:C$22,MATCH($J161,'Stats base'!$A$18:$A$22,0))*IFERROR(INDEX(Variación!D$3:D$228,MATCH($G161,Variación!$A$3:$A$228,0)),1),1)</f>
        <v>8.8000000000000007</v>
      </c>
      <c r="M161" s="20">
        <f>ROUND(INDEX('Stats base'!D$5:D$8,MATCH($C161,'Stats base'!$A$5:$A$8,0))*INDEX('Stats base'!D$12:D$14,MATCH($E161,'Stats base'!$A$12:$A$14,0))*INDEX('Stats base'!D$18:D$22,MATCH($J161,'Stats base'!$A$18:$A$22,0))*IFERROR(INDEX(Variación!E$3:E$228,MATCH($G161,Variación!$A$3:$A$228,0)),1),1)</f>
        <v>21</v>
      </c>
      <c r="N161" s="20">
        <f>ROUND(INDEX('Stats base'!E$5:E$8,MATCH($C161,'Stats base'!$A$5:$A$8,0))*INDEX('Stats base'!E$12:E$14,MATCH($E161,'Stats base'!$A$12:$A$14,0))*INDEX('Stats base'!E$18:E$22,MATCH($J161,'Stats base'!$A$18:$A$22,0))*IFERROR(INDEX(Variación!F$3:F$228,MATCH($G161,Variación!$A$3:$A$228,0)),1),1)</f>
        <v>7.4</v>
      </c>
      <c r="O161" s="19">
        <f>ROUND(INDEX('Stats base'!F$5:F$8,MATCH($C161,'Stats base'!$A$5:$A$8,0))*INDEX('Stats base'!F$12:F$14,MATCH($E161,'Stats base'!$A$12:$A$14,0))*INDEX('Stats base'!F$18:F$22,MATCH($J161,'Stats base'!$A$18:$A$22,0))*IFERROR(INDEX(Variación!G$3:G$228,MATCH($G161,Variación!$A$3:$A$228,0)),1),0)</f>
        <v>81</v>
      </c>
      <c r="P161" s="21">
        <f>MIN('Stats base'!$G$30,ROUND(INDEX('Stats base'!G$5:G$8,MATCH($C161,'Stats base'!$A$5:$A$8,0))*INDEX('Stats base'!G$12:G$14,MATCH($E161,'Stats base'!$A$12:$A$14,0))*INDEX('Stats base'!G$18:G$22,MATCH($J161,'Stats base'!$A$18:$A$22,0))*IFERROR(INDEX(Variación!H$3:H$228,MATCH($G161,Variación!$A$3:$A$228,0)),1),3))</f>
        <v>0.01</v>
      </c>
    </row>
    <row r="162" spans="1:16" ht="34.5" hidden="1" customHeight="1" x14ac:dyDescent="0.25">
      <c r="A162" s="15" t="s">
        <v>534</v>
      </c>
      <c r="B162" s="15" t="s">
        <v>535</v>
      </c>
      <c r="C162" s="16" t="s">
        <v>58</v>
      </c>
      <c r="D162" s="17" t="s">
        <v>29</v>
      </c>
      <c r="E162" s="16" t="s">
        <v>42</v>
      </c>
      <c r="F162" s="16" t="s">
        <v>43</v>
      </c>
      <c r="G162" s="18" t="s">
        <v>536</v>
      </c>
      <c r="H162" s="18"/>
      <c r="I162" s="18" t="s">
        <v>500</v>
      </c>
      <c r="J162" s="18" t="s">
        <v>50</v>
      </c>
      <c r="K162" s="19">
        <f>ROUND(INDEX('Stats base'!B$5:B$8,MATCH($C162,'Stats base'!$A$5:$A$8,0))*INDEX('Stats base'!B$12:B$14,MATCH($E162,'Stats base'!$A$12:$A$14,0))*INDEX('Stats base'!B$18:B$22,MATCH($J162,'Stats base'!$A$18:$A$22,0))*IFERROR(INDEX(Variación!C$3:C$228,MATCH($G162,Variación!$A$3:$A$228,0)),1),0)</f>
        <v>102</v>
      </c>
      <c r="L162" s="20">
        <f>ROUND(INDEX('Stats base'!C$5:C$8,MATCH($C162,'Stats base'!$A$5:$A$8,0))*INDEX('Stats base'!C$12:C$14,MATCH($E162,'Stats base'!$A$12:$A$14,0))*INDEX('Stats base'!C$18:C$22,MATCH($J162,'Stats base'!$A$18:$A$22,0))*IFERROR(INDEX(Variación!D$3:D$228,MATCH($G162,Variación!$A$3:$A$228,0)),1),1)</f>
        <v>10.7</v>
      </c>
      <c r="M162" s="20">
        <f>ROUND(INDEX('Stats base'!D$5:D$8,MATCH($C162,'Stats base'!$A$5:$A$8,0))*INDEX('Stats base'!D$12:D$14,MATCH($E162,'Stats base'!$A$12:$A$14,0))*INDEX('Stats base'!D$18:D$22,MATCH($J162,'Stats base'!$A$18:$A$22,0))*IFERROR(INDEX(Variación!E$3:E$228,MATCH($G162,Variación!$A$3:$A$228,0)),1),1)</f>
        <v>20.3</v>
      </c>
      <c r="N162" s="20">
        <f>ROUND(INDEX('Stats base'!E$5:E$8,MATCH($C162,'Stats base'!$A$5:$A$8,0))*INDEX('Stats base'!E$12:E$14,MATCH($E162,'Stats base'!$A$12:$A$14,0))*INDEX('Stats base'!E$18:E$22,MATCH($J162,'Stats base'!$A$18:$A$22,0))*IFERROR(INDEX(Variación!F$3:F$228,MATCH($G162,Variación!$A$3:$A$228,0)),1),1)</f>
        <v>4.2</v>
      </c>
      <c r="O162" s="19">
        <f>ROUND(INDEX('Stats base'!F$5:F$8,MATCH($C162,'Stats base'!$A$5:$A$8,0))*INDEX('Stats base'!F$12:F$14,MATCH($E162,'Stats base'!$A$12:$A$14,0))*INDEX('Stats base'!F$18:F$22,MATCH($J162,'Stats base'!$A$18:$A$22,0))*IFERROR(INDEX(Variación!G$3:G$228,MATCH($G162,Variación!$A$3:$A$228,0)),1),0)</f>
        <v>100</v>
      </c>
      <c r="P162" s="21">
        <f>MIN('Stats base'!$G$30,ROUND(INDEX('Stats base'!G$5:G$8,MATCH($C162,'Stats base'!$A$5:$A$8,0))*INDEX('Stats base'!G$12:G$14,MATCH($E162,'Stats base'!$A$12:$A$14,0))*INDEX('Stats base'!G$18:G$22,MATCH($J162,'Stats base'!$A$18:$A$22,0))*IFERROR(INDEX(Variación!H$3:H$228,MATCH($G162,Variación!$A$3:$A$228,0)),1),3))</f>
        <v>3.7999999999999999E-2</v>
      </c>
    </row>
    <row r="163" spans="1:16" ht="34.5" hidden="1" customHeight="1" x14ac:dyDescent="0.25">
      <c r="A163" s="15" t="s">
        <v>537</v>
      </c>
      <c r="B163" s="15" t="s">
        <v>538</v>
      </c>
      <c r="C163" s="16" t="s">
        <v>58</v>
      </c>
      <c r="D163" s="17" t="s">
        <v>29</v>
      </c>
      <c r="E163" s="16" t="s">
        <v>30</v>
      </c>
      <c r="F163" s="16" t="s">
        <v>48</v>
      </c>
      <c r="G163" s="18" t="s">
        <v>539</v>
      </c>
      <c r="H163" s="18"/>
      <c r="I163" s="18" t="s">
        <v>500</v>
      </c>
      <c r="J163" s="18" t="s">
        <v>50</v>
      </c>
      <c r="K163" s="19">
        <f>ROUND(INDEX('Stats base'!B$5:B$8,MATCH($C163,'Stats base'!$A$5:$A$8,0))*INDEX('Stats base'!B$12:B$14,MATCH($E163,'Stats base'!$A$12:$A$14,0))*INDEX('Stats base'!B$18:B$22,MATCH($J163,'Stats base'!$A$18:$A$22,0))*IFERROR(INDEX(Variación!C$3:C$228,MATCH($G163,Variación!$A$3:$A$228,0)),1),0)</f>
        <v>103</v>
      </c>
      <c r="L163" s="20">
        <f>ROUND(INDEX('Stats base'!C$5:C$8,MATCH($C163,'Stats base'!$A$5:$A$8,0))*INDEX('Stats base'!C$12:C$14,MATCH($E163,'Stats base'!$A$12:$A$14,0))*INDEX('Stats base'!C$18:C$22,MATCH($J163,'Stats base'!$A$18:$A$22,0))*IFERROR(INDEX(Variación!D$3:D$228,MATCH($G163,Variación!$A$3:$A$228,0)),1),1)</f>
        <v>9.6</v>
      </c>
      <c r="M163" s="20">
        <f>ROUND(INDEX('Stats base'!D$5:D$8,MATCH($C163,'Stats base'!$A$5:$A$8,0))*INDEX('Stats base'!D$12:D$14,MATCH($E163,'Stats base'!$A$12:$A$14,0))*INDEX('Stats base'!D$18:D$22,MATCH($J163,'Stats base'!$A$18:$A$22,0))*IFERROR(INDEX(Variación!E$3:E$228,MATCH($G163,Variación!$A$3:$A$228,0)),1),1)</f>
        <v>16.8</v>
      </c>
      <c r="N163" s="20">
        <f>ROUND(INDEX('Stats base'!E$5:E$8,MATCH($C163,'Stats base'!$A$5:$A$8,0))*INDEX('Stats base'!E$12:E$14,MATCH($E163,'Stats base'!$A$12:$A$14,0))*INDEX('Stats base'!E$18:E$22,MATCH($J163,'Stats base'!$A$18:$A$22,0))*IFERROR(INDEX(Variación!F$3:F$228,MATCH($G163,Variación!$A$3:$A$228,0)),1),1)</f>
        <v>4.4000000000000004</v>
      </c>
      <c r="O163" s="19">
        <f>ROUND(INDEX('Stats base'!F$5:F$8,MATCH($C163,'Stats base'!$A$5:$A$8,0))*INDEX('Stats base'!F$12:F$14,MATCH($E163,'Stats base'!$A$12:$A$14,0))*INDEX('Stats base'!F$18:F$22,MATCH($J163,'Stats base'!$A$18:$A$22,0))*IFERROR(INDEX(Variación!G$3:G$228,MATCH($G163,Variación!$A$3:$A$228,0)),1),0)</f>
        <v>112</v>
      </c>
      <c r="P163" s="21">
        <f>MIN('Stats base'!$G$30,ROUND(INDEX('Stats base'!G$5:G$8,MATCH($C163,'Stats base'!$A$5:$A$8,0))*INDEX('Stats base'!G$12:G$14,MATCH($E163,'Stats base'!$A$12:$A$14,0))*INDEX('Stats base'!G$18:G$22,MATCH($J163,'Stats base'!$A$18:$A$22,0))*IFERROR(INDEX(Variación!H$3:H$228,MATCH($G163,Variación!$A$3:$A$228,0)),1),3))</f>
        <v>4.3999999999999997E-2</v>
      </c>
    </row>
    <row r="164" spans="1:16" ht="34.5" customHeight="1" x14ac:dyDescent="0.25">
      <c r="A164" s="15" t="s">
        <v>540</v>
      </c>
      <c r="B164" s="15" t="s">
        <v>541</v>
      </c>
      <c r="C164" s="16" t="s">
        <v>37</v>
      </c>
      <c r="D164" s="17" t="s">
        <v>29</v>
      </c>
      <c r="E164" s="16" t="s">
        <v>30</v>
      </c>
      <c r="F164" s="16" t="s">
        <v>43</v>
      </c>
      <c r="G164" s="18" t="s">
        <v>542</v>
      </c>
      <c r="H164" s="18"/>
      <c r="I164" s="18" t="s">
        <v>500</v>
      </c>
      <c r="J164" s="18" t="s">
        <v>85</v>
      </c>
      <c r="K164" s="19">
        <f>ROUND(INDEX('Stats base'!B$5:B$8,MATCH($C164,'Stats base'!$A$5:$A$8,0))*INDEX('Stats base'!B$12:B$14,MATCH($E164,'Stats base'!$A$12:$A$14,0))*INDEX('Stats base'!B$18:B$22,MATCH($J164,'Stats base'!$A$18:$A$22,0))*IFERROR(INDEX(Variación!C$3:C$228,MATCH($G164,Variación!$A$3:$A$228,0)),1),0)</f>
        <v>144</v>
      </c>
      <c r="L164" s="20">
        <f>ROUND(INDEX('Stats base'!C$5:C$8,MATCH($C164,'Stats base'!$A$5:$A$8,0))*INDEX('Stats base'!C$12:C$14,MATCH($E164,'Stats base'!$A$12:$A$14,0))*INDEX('Stats base'!C$18:C$22,MATCH($J164,'Stats base'!$A$18:$A$22,0))*IFERROR(INDEX(Variación!D$3:D$228,MATCH($G164,Variación!$A$3:$A$228,0)),1),1)</f>
        <v>6</v>
      </c>
      <c r="M164" s="20">
        <f>ROUND(INDEX('Stats base'!D$5:D$8,MATCH($C164,'Stats base'!$A$5:$A$8,0))*INDEX('Stats base'!D$12:D$14,MATCH($E164,'Stats base'!$A$12:$A$14,0))*INDEX('Stats base'!D$18:D$22,MATCH($J164,'Stats base'!$A$18:$A$22,0))*IFERROR(INDEX(Variación!E$3:E$228,MATCH($G164,Variación!$A$3:$A$228,0)),1),1)</f>
        <v>10.6</v>
      </c>
      <c r="N164" s="20">
        <f>ROUND(INDEX('Stats base'!E$5:E$8,MATCH($C164,'Stats base'!$A$5:$A$8,0))*INDEX('Stats base'!E$12:E$14,MATCH($E164,'Stats base'!$A$12:$A$14,0))*INDEX('Stats base'!E$18:E$22,MATCH($J164,'Stats base'!$A$18:$A$22,0))*IFERROR(INDEX(Variación!F$3:F$228,MATCH($G164,Variación!$A$3:$A$228,0)),1),1)</f>
        <v>8.6</v>
      </c>
      <c r="O164" s="19">
        <f>ROUND(INDEX('Stats base'!F$5:F$8,MATCH($C164,'Stats base'!$A$5:$A$8,0))*INDEX('Stats base'!F$12:F$14,MATCH($E164,'Stats base'!$A$12:$A$14,0))*INDEX('Stats base'!F$18:F$22,MATCH($J164,'Stats base'!$A$18:$A$22,0))*IFERROR(INDEX(Variación!G$3:G$228,MATCH($G164,Variación!$A$3:$A$228,0)),1),0)</f>
        <v>95</v>
      </c>
      <c r="P164" s="21">
        <f>MIN('Stats base'!$G$30,ROUND(INDEX('Stats base'!G$5:G$8,MATCH($C164,'Stats base'!$A$5:$A$8,0))*INDEX('Stats base'!G$12:G$14,MATCH($E164,'Stats base'!$A$12:$A$14,0))*INDEX('Stats base'!G$18:G$22,MATCH($J164,'Stats base'!$A$18:$A$22,0))*IFERROR(INDEX(Variación!H$3:H$228,MATCH($G164,Variación!$A$3:$A$228,0)),1),3))</f>
        <v>1.2999999999999999E-2</v>
      </c>
    </row>
    <row r="165" spans="1:16" ht="34.5" customHeight="1" x14ac:dyDescent="0.25">
      <c r="A165" s="15" t="s">
        <v>543</v>
      </c>
      <c r="B165" s="15" t="s">
        <v>544</v>
      </c>
      <c r="C165" s="16" t="s">
        <v>37</v>
      </c>
      <c r="D165" s="17" t="s">
        <v>29</v>
      </c>
      <c r="E165" s="16" t="s">
        <v>30</v>
      </c>
      <c r="F165" s="16" t="s">
        <v>38</v>
      </c>
      <c r="G165" s="18" t="s">
        <v>545</v>
      </c>
      <c r="H165" s="18"/>
      <c r="I165" s="18" t="s">
        <v>500</v>
      </c>
      <c r="J165" s="18" t="s">
        <v>85</v>
      </c>
      <c r="K165" s="19">
        <f>ROUND(INDEX('Stats base'!B$5:B$8,MATCH($C165,'Stats base'!$A$5:$A$8,0))*INDEX('Stats base'!B$12:B$14,MATCH($E165,'Stats base'!$A$12:$A$14,0))*INDEX('Stats base'!B$18:B$22,MATCH($J165,'Stats base'!$A$18:$A$22,0))*IFERROR(INDEX(Variación!C$3:C$228,MATCH($G165,Variación!$A$3:$A$228,0)),1),0)</f>
        <v>120</v>
      </c>
      <c r="L165" s="20">
        <f>ROUND(INDEX('Stats base'!C$5:C$8,MATCH($C165,'Stats base'!$A$5:$A$8,0))*INDEX('Stats base'!C$12:C$14,MATCH($E165,'Stats base'!$A$12:$A$14,0))*INDEX('Stats base'!C$18:C$22,MATCH($J165,'Stats base'!$A$18:$A$22,0))*IFERROR(INDEX(Variación!D$3:D$228,MATCH($G165,Variación!$A$3:$A$228,0)),1),1)</f>
        <v>6.7</v>
      </c>
      <c r="M165" s="20">
        <f>ROUND(INDEX('Stats base'!D$5:D$8,MATCH($C165,'Stats base'!$A$5:$A$8,0))*INDEX('Stats base'!D$12:D$14,MATCH($E165,'Stats base'!$A$12:$A$14,0))*INDEX('Stats base'!D$18:D$22,MATCH($J165,'Stats base'!$A$18:$A$22,0))*IFERROR(INDEX(Variación!E$3:E$228,MATCH($G165,Variación!$A$3:$A$228,0)),1),1)</f>
        <v>11.9</v>
      </c>
      <c r="N165" s="20">
        <f>ROUND(INDEX('Stats base'!E$5:E$8,MATCH($C165,'Stats base'!$A$5:$A$8,0))*INDEX('Stats base'!E$12:E$14,MATCH($E165,'Stats base'!$A$12:$A$14,0))*INDEX('Stats base'!E$18:E$22,MATCH($J165,'Stats base'!$A$18:$A$22,0))*IFERROR(INDEX(Variación!F$3:F$228,MATCH($G165,Variación!$A$3:$A$228,0)),1),1)</f>
        <v>7.8</v>
      </c>
      <c r="O165" s="19">
        <f>ROUND(INDEX('Stats base'!F$5:F$8,MATCH($C165,'Stats base'!$A$5:$A$8,0))*INDEX('Stats base'!F$12:F$14,MATCH($E165,'Stats base'!$A$12:$A$14,0))*INDEX('Stats base'!F$18:F$22,MATCH($J165,'Stats base'!$A$18:$A$22,0))*IFERROR(INDEX(Variación!G$3:G$228,MATCH($G165,Variación!$A$3:$A$228,0)),1),0)</f>
        <v>97</v>
      </c>
      <c r="P165" s="21">
        <f>MIN('Stats base'!$G$30,ROUND(INDEX('Stats base'!G$5:G$8,MATCH($C165,'Stats base'!$A$5:$A$8,0))*INDEX('Stats base'!G$12:G$14,MATCH($E165,'Stats base'!$A$12:$A$14,0))*INDEX('Stats base'!G$18:G$22,MATCH($J165,'Stats base'!$A$18:$A$22,0))*IFERROR(INDEX(Variación!H$3:H$228,MATCH($G165,Variación!$A$3:$A$228,0)),1),3))</f>
        <v>1.2999999999999999E-2</v>
      </c>
    </row>
    <row r="166" spans="1:16" ht="34.5" hidden="1" customHeight="1" x14ac:dyDescent="0.25">
      <c r="A166" s="15" t="s">
        <v>546</v>
      </c>
      <c r="B166" s="15" t="s">
        <v>547</v>
      </c>
      <c r="C166" s="16" t="s">
        <v>28</v>
      </c>
      <c r="D166" s="17" t="s">
        <v>29</v>
      </c>
      <c r="E166" s="16" t="s">
        <v>42</v>
      </c>
      <c r="F166" s="16" t="s">
        <v>31</v>
      </c>
      <c r="G166" s="18" t="s">
        <v>548</v>
      </c>
      <c r="H166" s="18"/>
      <c r="I166" s="18" t="s">
        <v>549</v>
      </c>
      <c r="J166" s="18" t="s">
        <v>45</v>
      </c>
      <c r="K166" s="19">
        <f>ROUND(INDEX('Stats base'!B$5:B$8,MATCH($C166,'Stats base'!$A$5:$A$8,0))*INDEX('Stats base'!B$12:B$14,MATCH($E166,'Stats base'!$A$12:$A$14,0))*INDEX('Stats base'!B$18:B$22,MATCH($J166,'Stats base'!$A$18:$A$22,0))*IFERROR(INDEX(Variación!C$3:C$228,MATCH($G166,Variación!$A$3:$A$228,0)),1),0)</f>
        <v>182</v>
      </c>
      <c r="L166" s="20">
        <f>ROUND(INDEX('Stats base'!C$5:C$8,MATCH($C166,'Stats base'!$A$5:$A$8,0))*INDEX('Stats base'!C$12:C$14,MATCH($E166,'Stats base'!$A$12:$A$14,0))*INDEX('Stats base'!C$18:C$22,MATCH($J166,'Stats base'!$A$18:$A$22,0))*IFERROR(INDEX(Variación!D$3:D$228,MATCH($G166,Variación!$A$3:$A$228,0)),1),1)</f>
        <v>14</v>
      </c>
      <c r="M166" s="20">
        <f>ROUND(INDEX('Stats base'!D$5:D$8,MATCH($C166,'Stats base'!$A$5:$A$8,0))*INDEX('Stats base'!D$12:D$14,MATCH($E166,'Stats base'!$A$12:$A$14,0))*INDEX('Stats base'!D$18:D$22,MATCH($J166,'Stats base'!$A$18:$A$22,0))*IFERROR(INDEX(Variación!E$3:E$228,MATCH($G166,Variación!$A$3:$A$228,0)),1),1)</f>
        <v>31.2</v>
      </c>
      <c r="N166" s="20">
        <f>ROUND(INDEX('Stats base'!E$5:E$8,MATCH($C166,'Stats base'!$A$5:$A$8,0))*INDEX('Stats base'!E$12:E$14,MATCH($E166,'Stats base'!$A$12:$A$14,0))*INDEX('Stats base'!E$18:E$22,MATCH($J166,'Stats base'!$A$18:$A$22,0))*IFERROR(INDEX(Variación!F$3:F$228,MATCH($G166,Variación!$A$3:$A$228,0)),1),1)</f>
        <v>11.2</v>
      </c>
      <c r="O166" s="19">
        <f>ROUND(INDEX('Stats base'!F$5:F$8,MATCH($C166,'Stats base'!$A$5:$A$8,0))*INDEX('Stats base'!F$12:F$14,MATCH($E166,'Stats base'!$A$12:$A$14,0))*INDEX('Stats base'!F$18:F$22,MATCH($J166,'Stats base'!$A$18:$A$22,0))*IFERROR(INDEX(Variación!G$3:G$228,MATCH($G166,Variación!$A$3:$A$228,0)),1),0)</f>
        <v>73</v>
      </c>
      <c r="P166" s="21">
        <f>MIN('Stats base'!$G$30,ROUND(INDEX('Stats base'!G$5:G$8,MATCH($C166,'Stats base'!$A$5:$A$8,0))*INDEX('Stats base'!G$12:G$14,MATCH($E166,'Stats base'!$A$12:$A$14,0))*INDEX('Stats base'!G$18:G$22,MATCH($J166,'Stats base'!$A$18:$A$22,0))*IFERROR(INDEX(Variación!H$3:H$228,MATCH($G166,Variación!$A$3:$A$228,0)),1),3))</f>
        <v>1.2E-2</v>
      </c>
    </row>
    <row r="167" spans="1:16" ht="34.5" hidden="1" customHeight="1" x14ac:dyDescent="0.25">
      <c r="A167" s="15" t="s">
        <v>550</v>
      </c>
      <c r="B167" s="15" t="s">
        <v>551</v>
      </c>
      <c r="C167" s="16" t="s">
        <v>37</v>
      </c>
      <c r="D167" s="17" t="s">
        <v>29</v>
      </c>
      <c r="E167" s="16" t="s">
        <v>53</v>
      </c>
      <c r="F167" s="16" t="s">
        <v>31</v>
      </c>
      <c r="G167" s="18" t="s">
        <v>552</v>
      </c>
      <c r="H167" s="18"/>
      <c r="I167" s="18" t="s">
        <v>549</v>
      </c>
      <c r="J167" s="18" t="s">
        <v>70</v>
      </c>
      <c r="K167" s="19">
        <f>ROUND(INDEX('Stats base'!B$5:B$8,MATCH($C167,'Stats base'!$A$5:$A$8,0))*INDEX('Stats base'!B$12:B$14,MATCH($E167,'Stats base'!$A$12:$A$14,0))*INDEX('Stats base'!B$18:B$22,MATCH($J167,'Stats base'!$A$18:$A$22,0))*IFERROR(INDEX(Variación!C$3:C$228,MATCH($G167,Variación!$A$3:$A$228,0)),1),0)</f>
        <v>143</v>
      </c>
      <c r="L167" s="20">
        <f>ROUND(INDEX('Stats base'!C$5:C$8,MATCH($C167,'Stats base'!$A$5:$A$8,0))*INDEX('Stats base'!C$12:C$14,MATCH($E167,'Stats base'!$A$12:$A$14,0))*INDEX('Stats base'!C$18:C$22,MATCH($J167,'Stats base'!$A$18:$A$22,0))*IFERROR(INDEX(Variación!D$3:D$228,MATCH($G167,Variación!$A$3:$A$228,0)),1),1)</f>
        <v>9.1999999999999993</v>
      </c>
      <c r="M167" s="20">
        <f>ROUND(INDEX('Stats base'!D$5:D$8,MATCH($C167,'Stats base'!$A$5:$A$8,0))*INDEX('Stats base'!D$12:D$14,MATCH($E167,'Stats base'!$A$12:$A$14,0))*INDEX('Stats base'!D$18:D$22,MATCH($J167,'Stats base'!$A$18:$A$22,0))*IFERROR(INDEX(Variación!E$3:E$228,MATCH($G167,Variación!$A$3:$A$228,0)),1),1)</f>
        <v>15.5</v>
      </c>
      <c r="N167" s="20">
        <f>ROUND(INDEX('Stats base'!E$5:E$8,MATCH($C167,'Stats base'!$A$5:$A$8,0))*INDEX('Stats base'!E$12:E$14,MATCH($E167,'Stats base'!$A$12:$A$14,0))*INDEX('Stats base'!E$18:E$22,MATCH($J167,'Stats base'!$A$18:$A$22,0))*IFERROR(INDEX(Variación!F$3:F$228,MATCH($G167,Variación!$A$3:$A$228,0)),1),1)</f>
        <v>10.199999999999999</v>
      </c>
      <c r="O167" s="19">
        <f>ROUND(INDEX('Stats base'!F$5:F$8,MATCH($C167,'Stats base'!$A$5:$A$8,0))*INDEX('Stats base'!F$12:F$14,MATCH($E167,'Stats base'!$A$12:$A$14,0))*INDEX('Stats base'!F$18:F$22,MATCH($J167,'Stats base'!$A$18:$A$22,0))*IFERROR(INDEX(Variación!G$3:G$228,MATCH($G167,Variación!$A$3:$A$228,0)),1),0)</f>
        <v>103</v>
      </c>
      <c r="P167" s="21">
        <f>MIN('Stats base'!$G$30,ROUND(INDEX('Stats base'!G$5:G$8,MATCH($C167,'Stats base'!$A$5:$A$8,0))*INDEX('Stats base'!G$12:G$14,MATCH($E167,'Stats base'!$A$12:$A$14,0))*INDEX('Stats base'!G$18:G$22,MATCH($J167,'Stats base'!$A$18:$A$22,0))*IFERROR(INDEX(Variación!H$3:H$228,MATCH($G167,Variación!$A$3:$A$228,0)),1),3))</f>
        <v>0.02</v>
      </c>
    </row>
    <row r="168" spans="1:16" ht="34.5" hidden="1" customHeight="1" x14ac:dyDescent="0.25">
      <c r="A168" s="15" t="s">
        <v>553</v>
      </c>
      <c r="B168" s="15" t="s">
        <v>554</v>
      </c>
      <c r="C168" s="16" t="s">
        <v>37</v>
      </c>
      <c r="D168" s="17" t="s">
        <v>29</v>
      </c>
      <c r="E168" s="16" t="s">
        <v>30</v>
      </c>
      <c r="F168" s="16" t="s">
        <v>31</v>
      </c>
      <c r="G168" s="18" t="s">
        <v>555</v>
      </c>
      <c r="H168" s="18"/>
      <c r="I168" s="18" t="s">
        <v>549</v>
      </c>
      <c r="J168" s="18" t="s">
        <v>50</v>
      </c>
      <c r="K168" s="19">
        <f>ROUND(INDEX('Stats base'!B$5:B$8,MATCH($C168,'Stats base'!$A$5:$A$8,0))*INDEX('Stats base'!B$12:B$14,MATCH($E168,'Stats base'!$A$12:$A$14,0))*INDEX('Stats base'!B$18:B$22,MATCH($J168,'Stats base'!$A$18:$A$22,0))*IFERROR(INDEX(Variación!C$3:C$228,MATCH($G168,Variación!$A$3:$A$228,0)),1),0)</f>
        <v>140</v>
      </c>
      <c r="L168" s="20">
        <f>ROUND(INDEX('Stats base'!C$5:C$8,MATCH($C168,'Stats base'!$A$5:$A$8,0))*INDEX('Stats base'!C$12:C$14,MATCH($E168,'Stats base'!$A$12:$A$14,0))*INDEX('Stats base'!C$18:C$22,MATCH($J168,'Stats base'!$A$18:$A$22,0))*IFERROR(INDEX(Variación!D$3:D$228,MATCH($G168,Variación!$A$3:$A$228,0)),1),1)</f>
        <v>7.6</v>
      </c>
      <c r="M168" s="20">
        <f>ROUND(INDEX('Stats base'!D$5:D$8,MATCH($C168,'Stats base'!$A$5:$A$8,0))*INDEX('Stats base'!D$12:D$14,MATCH($E168,'Stats base'!$A$12:$A$14,0))*INDEX('Stats base'!D$18:D$22,MATCH($J168,'Stats base'!$A$18:$A$22,0))*IFERROR(INDEX(Variación!E$3:E$228,MATCH($G168,Variación!$A$3:$A$228,0)),1),1)</f>
        <v>12.2</v>
      </c>
      <c r="N168" s="20">
        <f>ROUND(INDEX('Stats base'!E$5:E$8,MATCH($C168,'Stats base'!$A$5:$A$8,0))*INDEX('Stats base'!E$12:E$14,MATCH($E168,'Stats base'!$A$12:$A$14,0))*INDEX('Stats base'!E$18:E$22,MATCH($J168,'Stats base'!$A$18:$A$22,0))*IFERROR(INDEX(Variación!F$3:F$228,MATCH($G168,Variación!$A$3:$A$228,0)),1),1)</f>
        <v>9</v>
      </c>
      <c r="O168" s="19">
        <f>ROUND(INDEX('Stats base'!F$5:F$8,MATCH($C168,'Stats base'!$A$5:$A$8,0))*INDEX('Stats base'!F$12:F$14,MATCH($E168,'Stats base'!$A$12:$A$14,0))*INDEX('Stats base'!F$18:F$22,MATCH($J168,'Stats base'!$A$18:$A$22,0))*IFERROR(INDEX(Variación!G$3:G$228,MATCH($G168,Variación!$A$3:$A$228,0)),1),0)</f>
        <v>99</v>
      </c>
      <c r="P168" s="21">
        <f>MIN('Stats base'!$G$30,ROUND(INDEX('Stats base'!G$5:G$8,MATCH($C168,'Stats base'!$A$5:$A$8,0))*INDEX('Stats base'!G$12:G$14,MATCH($E168,'Stats base'!$A$12:$A$14,0))*INDEX('Stats base'!G$18:G$22,MATCH($J168,'Stats base'!$A$18:$A$22,0))*IFERROR(INDEX(Variación!H$3:H$228,MATCH($G168,Variación!$A$3:$A$228,0)),1),3))</f>
        <v>1.7000000000000001E-2</v>
      </c>
    </row>
    <row r="169" spans="1:16" ht="34.5" hidden="1" customHeight="1" x14ac:dyDescent="0.25">
      <c r="A169" s="15" t="s">
        <v>556</v>
      </c>
      <c r="B169" s="15" t="s">
        <v>557</v>
      </c>
      <c r="C169" s="16" t="s">
        <v>37</v>
      </c>
      <c r="D169" s="17" t="s">
        <v>29</v>
      </c>
      <c r="E169" s="16" t="s">
        <v>30</v>
      </c>
      <c r="F169" s="16" t="s">
        <v>31</v>
      </c>
      <c r="G169" s="18" t="s">
        <v>558</v>
      </c>
      <c r="H169" s="18"/>
      <c r="I169" s="18" t="s">
        <v>549</v>
      </c>
      <c r="J169" s="18" t="s">
        <v>70</v>
      </c>
      <c r="K169" s="19">
        <f>ROUND(INDEX('Stats base'!B$5:B$8,MATCH($C169,'Stats base'!$A$5:$A$8,0))*INDEX('Stats base'!B$12:B$14,MATCH($E169,'Stats base'!$A$12:$A$14,0))*INDEX('Stats base'!B$18:B$22,MATCH($J169,'Stats base'!$A$18:$A$22,0))*IFERROR(INDEX(Variación!C$3:C$228,MATCH($G169,Variación!$A$3:$A$228,0)),1),0)</f>
        <v>136</v>
      </c>
      <c r="L169" s="20">
        <f>ROUND(INDEX('Stats base'!C$5:C$8,MATCH($C169,'Stats base'!$A$5:$A$8,0))*INDEX('Stats base'!C$12:C$14,MATCH($E169,'Stats base'!$A$12:$A$14,0))*INDEX('Stats base'!C$18:C$22,MATCH($J169,'Stats base'!$A$18:$A$22,0))*IFERROR(INDEX(Variación!D$3:D$228,MATCH($G169,Variación!$A$3:$A$228,0)),1),1)</f>
        <v>8.1</v>
      </c>
      <c r="M169" s="20">
        <f>ROUND(INDEX('Stats base'!D$5:D$8,MATCH($C169,'Stats base'!$A$5:$A$8,0))*INDEX('Stats base'!D$12:D$14,MATCH($E169,'Stats base'!$A$12:$A$14,0))*INDEX('Stats base'!D$18:D$22,MATCH($J169,'Stats base'!$A$18:$A$22,0))*IFERROR(INDEX(Variación!E$3:E$228,MATCH($G169,Variación!$A$3:$A$228,0)),1),1)</f>
        <v>13.1</v>
      </c>
      <c r="N169" s="20">
        <f>ROUND(INDEX('Stats base'!E$5:E$8,MATCH($C169,'Stats base'!$A$5:$A$8,0))*INDEX('Stats base'!E$12:E$14,MATCH($E169,'Stats base'!$A$12:$A$14,0))*INDEX('Stats base'!E$18:E$22,MATCH($J169,'Stats base'!$A$18:$A$22,0))*IFERROR(INDEX(Variación!F$3:F$228,MATCH($G169,Variación!$A$3:$A$228,0)),1),1)</f>
        <v>9.8000000000000007</v>
      </c>
      <c r="O169" s="19">
        <f>ROUND(INDEX('Stats base'!F$5:F$8,MATCH($C169,'Stats base'!$A$5:$A$8,0))*INDEX('Stats base'!F$12:F$14,MATCH($E169,'Stats base'!$A$12:$A$14,0))*INDEX('Stats base'!F$18:F$22,MATCH($J169,'Stats base'!$A$18:$A$22,0))*IFERROR(INDEX(Variación!G$3:G$228,MATCH($G169,Variación!$A$3:$A$228,0)),1),0)</f>
        <v>97</v>
      </c>
      <c r="P169" s="21">
        <f>MIN('Stats base'!$G$30,ROUND(INDEX('Stats base'!G$5:G$8,MATCH($C169,'Stats base'!$A$5:$A$8,0))*INDEX('Stats base'!G$12:G$14,MATCH($E169,'Stats base'!$A$12:$A$14,0))*INDEX('Stats base'!G$18:G$22,MATCH($J169,'Stats base'!$A$18:$A$22,0))*IFERROR(INDEX(Variación!H$3:H$228,MATCH($G169,Variación!$A$3:$A$228,0)),1),3))</f>
        <v>0.02</v>
      </c>
    </row>
    <row r="170" spans="1:16" ht="34.5" hidden="1" customHeight="1" x14ac:dyDescent="0.25">
      <c r="A170" s="15" t="s">
        <v>559</v>
      </c>
      <c r="B170" s="15" t="s">
        <v>560</v>
      </c>
      <c r="C170" s="16" t="s">
        <v>37</v>
      </c>
      <c r="D170" s="17" t="s">
        <v>29</v>
      </c>
      <c r="E170" s="16" t="s">
        <v>42</v>
      </c>
      <c r="F170" s="16" t="s">
        <v>31</v>
      </c>
      <c r="G170" s="18" t="s">
        <v>561</v>
      </c>
      <c r="H170" s="18"/>
      <c r="I170" s="18" t="s">
        <v>549</v>
      </c>
      <c r="J170" s="18" t="s">
        <v>70</v>
      </c>
      <c r="K170" s="19">
        <f>ROUND(INDEX('Stats base'!B$5:B$8,MATCH($C170,'Stats base'!$A$5:$A$8,0))*INDEX('Stats base'!B$12:B$14,MATCH($E170,'Stats base'!$A$12:$A$14,0))*INDEX('Stats base'!B$18:B$22,MATCH($J170,'Stats base'!$A$18:$A$22,0))*IFERROR(INDEX(Variación!C$3:C$228,MATCH($G170,Variación!$A$3:$A$228,0)),1),0)</f>
        <v>151</v>
      </c>
      <c r="L170" s="20">
        <f>ROUND(INDEX('Stats base'!C$5:C$8,MATCH($C170,'Stats base'!$A$5:$A$8,0))*INDEX('Stats base'!C$12:C$14,MATCH($E170,'Stats base'!$A$12:$A$14,0))*INDEX('Stats base'!C$18:C$22,MATCH($J170,'Stats base'!$A$18:$A$22,0))*IFERROR(INDEX(Variación!D$3:D$228,MATCH($G170,Variación!$A$3:$A$228,0)),1),1)</f>
        <v>7.8</v>
      </c>
      <c r="M170" s="20">
        <f>ROUND(INDEX('Stats base'!D$5:D$8,MATCH($C170,'Stats base'!$A$5:$A$8,0))*INDEX('Stats base'!D$12:D$14,MATCH($E170,'Stats base'!$A$12:$A$14,0))*INDEX('Stats base'!D$18:D$22,MATCH($J170,'Stats base'!$A$18:$A$22,0))*IFERROR(INDEX(Variación!E$3:E$228,MATCH($G170,Variación!$A$3:$A$228,0)),1),1)</f>
        <v>13.4</v>
      </c>
      <c r="N170" s="20">
        <f>ROUND(INDEX('Stats base'!E$5:E$8,MATCH($C170,'Stats base'!$A$5:$A$8,0))*INDEX('Stats base'!E$12:E$14,MATCH($E170,'Stats base'!$A$12:$A$14,0))*INDEX('Stats base'!E$18:E$22,MATCH($J170,'Stats base'!$A$18:$A$22,0))*IFERROR(INDEX(Variación!F$3:F$228,MATCH($G170,Variación!$A$3:$A$228,0)),1),1)</f>
        <v>10.1</v>
      </c>
      <c r="O170" s="19">
        <f>ROUND(INDEX('Stats base'!F$5:F$8,MATCH($C170,'Stats base'!$A$5:$A$8,0))*INDEX('Stats base'!F$12:F$14,MATCH($E170,'Stats base'!$A$12:$A$14,0))*INDEX('Stats base'!F$18:F$22,MATCH($J170,'Stats base'!$A$18:$A$22,0))*IFERROR(INDEX(Variación!G$3:G$228,MATCH($G170,Variación!$A$3:$A$228,0)),1),0)</f>
        <v>91</v>
      </c>
      <c r="P170" s="21">
        <f>MIN('Stats base'!$G$30,ROUND(INDEX('Stats base'!G$5:G$8,MATCH($C170,'Stats base'!$A$5:$A$8,0))*INDEX('Stats base'!G$12:G$14,MATCH($E170,'Stats base'!$A$12:$A$14,0))*INDEX('Stats base'!G$18:G$22,MATCH($J170,'Stats base'!$A$18:$A$22,0))*IFERROR(INDEX(Variación!H$3:H$228,MATCH($G170,Variación!$A$3:$A$228,0)),1),3))</f>
        <v>1.7000000000000001E-2</v>
      </c>
    </row>
    <row r="171" spans="1:16" ht="34.5" hidden="1" customHeight="1" x14ac:dyDescent="0.25">
      <c r="A171" s="15" t="s">
        <v>562</v>
      </c>
      <c r="B171" s="15" t="s">
        <v>563</v>
      </c>
      <c r="C171" s="16" t="s">
        <v>58</v>
      </c>
      <c r="D171" s="17" t="s">
        <v>29</v>
      </c>
      <c r="E171" s="16" t="s">
        <v>30</v>
      </c>
      <c r="F171" s="16" t="s">
        <v>31</v>
      </c>
      <c r="G171" s="18" t="s">
        <v>564</v>
      </c>
      <c r="H171" s="18"/>
      <c r="I171" s="18" t="s">
        <v>549</v>
      </c>
      <c r="J171" s="18" t="s">
        <v>70</v>
      </c>
      <c r="K171" s="19">
        <f>ROUND(INDEX('Stats base'!B$5:B$8,MATCH($C171,'Stats base'!$A$5:$A$8,0))*INDEX('Stats base'!B$12:B$14,MATCH($E171,'Stats base'!$A$12:$A$14,0))*INDEX('Stats base'!B$18:B$22,MATCH($J171,'Stats base'!$A$18:$A$22,0))*IFERROR(INDEX(Variación!C$3:C$228,MATCH($G171,Variación!$A$3:$A$228,0)),1),0)</f>
        <v>105</v>
      </c>
      <c r="L171" s="20">
        <f>ROUND(INDEX('Stats base'!C$5:C$8,MATCH($C171,'Stats base'!$A$5:$A$8,0))*INDEX('Stats base'!C$12:C$14,MATCH($E171,'Stats base'!$A$12:$A$14,0))*INDEX('Stats base'!C$18:C$22,MATCH($J171,'Stats base'!$A$18:$A$22,0))*IFERROR(INDEX(Variación!D$3:D$228,MATCH($G171,Variación!$A$3:$A$228,0)),1),1)</f>
        <v>12.3</v>
      </c>
      <c r="M171" s="20">
        <f>ROUND(INDEX('Stats base'!D$5:D$8,MATCH($C171,'Stats base'!$A$5:$A$8,0))*INDEX('Stats base'!D$12:D$14,MATCH($E171,'Stats base'!$A$12:$A$14,0))*INDEX('Stats base'!D$18:D$22,MATCH($J171,'Stats base'!$A$18:$A$22,0))*IFERROR(INDEX(Variación!E$3:E$228,MATCH($G171,Variación!$A$3:$A$228,0)),1),1)</f>
        <v>21.6</v>
      </c>
      <c r="N171" s="20">
        <f>ROUND(INDEX('Stats base'!E$5:E$8,MATCH($C171,'Stats base'!$A$5:$A$8,0))*INDEX('Stats base'!E$12:E$14,MATCH($E171,'Stats base'!$A$12:$A$14,0))*INDEX('Stats base'!E$18:E$22,MATCH($J171,'Stats base'!$A$18:$A$22,0))*IFERROR(INDEX(Variación!F$3:F$228,MATCH($G171,Variación!$A$3:$A$228,0)),1),1)</f>
        <v>4.5</v>
      </c>
      <c r="O171" s="19">
        <f>ROUND(INDEX('Stats base'!F$5:F$8,MATCH($C171,'Stats base'!$A$5:$A$8,0))*INDEX('Stats base'!F$12:F$14,MATCH($E171,'Stats base'!$A$12:$A$14,0))*INDEX('Stats base'!F$18:F$22,MATCH($J171,'Stats base'!$A$18:$A$22,0))*IFERROR(INDEX(Variación!G$3:G$228,MATCH($G171,Variación!$A$3:$A$228,0)),1),0)</f>
        <v>108</v>
      </c>
      <c r="P171" s="21">
        <f>MIN('Stats base'!$G$30,ROUND(INDEX('Stats base'!G$5:G$8,MATCH($C171,'Stats base'!$A$5:$A$8,0))*INDEX('Stats base'!G$12:G$14,MATCH($E171,'Stats base'!$A$12:$A$14,0))*INDEX('Stats base'!G$18:G$22,MATCH($J171,'Stats base'!$A$18:$A$22,0))*IFERROR(INDEX(Variación!H$3:H$228,MATCH($G171,Variación!$A$3:$A$228,0)),1),3))</f>
        <v>5.0999999999999997E-2</v>
      </c>
    </row>
    <row r="172" spans="1:16" ht="34.5" hidden="1" customHeight="1" x14ac:dyDescent="0.25">
      <c r="A172" s="15" t="s">
        <v>565</v>
      </c>
      <c r="B172" s="15" t="s">
        <v>566</v>
      </c>
      <c r="C172" s="16" t="s">
        <v>58</v>
      </c>
      <c r="D172" s="17" t="s">
        <v>29</v>
      </c>
      <c r="E172" s="16" t="s">
        <v>53</v>
      </c>
      <c r="F172" s="16" t="s">
        <v>31</v>
      </c>
      <c r="G172" s="18" t="s">
        <v>567</v>
      </c>
      <c r="H172" s="18"/>
      <c r="I172" s="18" t="s">
        <v>549</v>
      </c>
      <c r="J172" s="18" t="s">
        <v>45</v>
      </c>
      <c r="K172" s="19">
        <f>ROUND(INDEX('Stats base'!B$5:B$8,MATCH($C172,'Stats base'!$A$5:$A$8,0))*INDEX('Stats base'!B$12:B$14,MATCH($E172,'Stats base'!$A$12:$A$14,0))*INDEX('Stats base'!B$18:B$22,MATCH($J172,'Stats base'!$A$18:$A$22,0))*IFERROR(INDEX(Variación!C$3:C$228,MATCH($G172,Variación!$A$3:$A$228,0)),1),0)</f>
        <v>130</v>
      </c>
      <c r="L172" s="20">
        <f>ROUND(INDEX('Stats base'!C$5:C$8,MATCH($C172,'Stats base'!$A$5:$A$8,0))*INDEX('Stats base'!C$12:C$14,MATCH($E172,'Stats base'!$A$12:$A$14,0))*INDEX('Stats base'!C$18:C$22,MATCH($J172,'Stats base'!$A$18:$A$22,0))*IFERROR(INDEX(Variación!D$3:D$228,MATCH($G172,Variación!$A$3:$A$228,0)),1),1)</f>
        <v>11.5</v>
      </c>
      <c r="M172" s="20">
        <f>ROUND(INDEX('Stats base'!D$5:D$8,MATCH($C172,'Stats base'!$A$5:$A$8,0))*INDEX('Stats base'!D$12:D$14,MATCH($E172,'Stats base'!$A$12:$A$14,0))*INDEX('Stats base'!D$18:D$22,MATCH($J172,'Stats base'!$A$18:$A$22,0))*IFERROR(INDEX(Variación!E$3:E$228,MATCH($G172,Variación!$A$3:$A$228,0)),1),1)</f>
        <v>22.5</v>
      </c>
      <c r="N172" s="20">
        <f>ROUND(INDEX('Stats base'!E$5:E$8,MATCH($C172,'Stats base'!$A$5:$A$8,0))*INDEX('Stats base'!E$12:E$14,MATCH($E172,'Stats base'!$A$12:$A$14,0))*INDEX('Stats base'!E$18:E$22,MATCH($J172,'Stats base'!$A$18:$A$22,0))*IFERROR(INDEX(Variación!F$3:F$228,MATCH($G172,Variación!$A$3:$A$228,0)),1),1)</f>
        <v>5.6</v>
      </c>
      <c r="O172" s="19">
        <f>ROUND(INDEX('Stats base'!F$5:F$8,MATCH($C172,'Stats base'!$A$5:$A$8,0))*INDEX('Stats base'!F$12:F$14,MATCH($E172,'Stats base'!$A$12:$A$14,0))*INDEX('Stats base'!F$18:F$22,MATCH($J172,'Stats base'!$A$18:$A$22,0))*IFERROR(INDEX(Variación!G$3:G$228,MATCH($G172,Variación!$A$3:$A$228,0)),1),0)</f>
        <v>127</v>
      </c>
      <c r="P172" s="21">
        <f>MIN('Stats base'!$G$30,ROUND(INDEX('Stats base'!G$5:G$8,MATCH($C172,'Stats base'!$A$5:$A$8,0))*INDEX('Stats base'!G$12:G$14,MATCH($E172,'Stats base'!$A$12:$A$14,0))*INDEX('Stats base'!G$18:G$22,MATCH($J172,'Stats base'!$A$18:$A$22,0))*IFERROR(INDEX(Variación!H$3:H$228,MATCH($G172,Variación!$A$3:$A$228,0)),1),3))</f>
        <v>7.1999999999999995E-2</v>
      </c>
    </row>
    <row r="173" spans="1:16" ht="34.5" hidden="1" customHeight="1" x14ac:dyDescent="0.25">
      <c r="A173" s="15" t="s">
        <v>568</v>
      </c>
      <c r="B173" s="15" t="s">
        <v>569</v>
      </c>
      <c r="C173" s="16" t="s">
        <v>58</v>
      </c>
      <c r="D173" s="17" t="s">
        <v>29</v>
      </c>
      <c r="E173" s="16" t="s">
        <v>30</v>
      </c>
      <c r="F173" s="16" t="s">
        <v>31</v>
      </c>
      <c r="G173" s="18" t="s">
        <v>570</v>
      </c>
      <c r="H173" s="18"/>
      <c r="I173" s="18" t="s">
        <v>549</v>
      </c>
      <c r="J173" s="18" t="s">
        <v>70</v>
      </c>
      <c r="K173" s="19">
        <f>ROUND(INDEX('Stats base'!B$5:B$8,MATCH($C173,'Stats base'!$A$5:$A$8,0))*INDEX('Stats base'!B$12:B$14,MATCH($E173,'Stats base'!$A$12:$A$14,0))*INDEX('Stats base'!B$18:B$22,MATCH($J173,'Stats base'!$A$18:$A$22,0))*IFERROR(INDEX(Variación!C$3:C$228,MATCH($G173,Variación!$A$3:$A$228,0)),1),0)</f>
        <v>105</v>
      </c>
      <c r="L173" s="20">
        <f>ROUND(INDEX('Stats base'!C$5:C$8,MATCH($C173,'Stats base'!$A$5:$A$8,0))*INDEX('Stats base'!C$12:C$14,MATCH($E173,'Stats base'!$A$12:$A$14,0))*INDEX('Stats base'!C$18:C$22,MATCH($J173,'Stats base'!$A$18:$A$22,0))*IFERROR(INDEX(Variación!D$3:D$228,MATCH($G173,Variación!$A$3:$A$228,0)),1),1)</f>
        <v>10.6</v>
      </c>
      <c r="M173" s="20">
        <f>ROUND(INDEX('Stats base'!D$5:D$8,MATCH($C173,'Stats base'!$A$5:$A$8,0))*INDEX('Stats base'!D$12:D$14,MATCH($E173,'Stats base'!$A$12:$A$14,0))*INDEX('Stats base'!D$18:D$22,MATCH($J173,'Stats base'!$A$18:$A$22,0))*IFERROR(INDEX(Variación!E$3:E$228,MATCH($G173,Variación!$A$3:$A$228,0)),1),1)</f>
        <v>19.399999999999999</v>
      </c>
      <c r="N173" s="20">
        <f>ROUND(INDEX('Stats base'!E$5:E$8,MATCH($C173,'Stats base'!$A$5:$A$8,0))*INDEX('Stats base'!E$12:E$14,MATCH($E173,'Stats base'!$A$12:$A$14,0))*INDEX('Stats base'!E$18:E$22,MATCH($J173,'Stats base'!$A$18:$A$22,0))*IFERROR(INDEX(Variación!F$3:F$228,MATCH($G173,Variación!$A$3:$A$228,0)),1),1)</f>
        <v>4.7</v>
      </c>
      <c r="O173" s="19">
        <f>ROUND(INDEX('Stats base'!F$5:F$8,MATCH($C173,'Stats base'!$A$5:$A$8,0))*INDEX('Stats base'!F$12:F$14,MATCH($E173,'Stats base'!$A$12:$A$14,0))*INDEX('Stats base'!F$18:F$22,MATCH($J173,'Stats base'!$A$18:$A$22,0))*IFERROR(INDEX(Variación!G$3:G$228,MATCH($G173,Variación!$A$3:$A$228,0)),1),0)</f>
        <v>122</v>
      </c>
      <c r="P173" s="21">
        <f>MIN('Stats base'!$G$30,ROUND(INDEX('Stats base'!G$5:G$8,MATCH($C173,'Stats base'!$A$5:$A$8,0))*INDEX('Stats base'!G$12:G$14,MATCH($E173,'Stats base'!$A$12:$A$14,0))*INDEX('Stats base'!G$18:G$22,MATCH($J173,'Stats base'!$A$18:$A$22,0))*IFERROR(INDEX(Variación!H$3:H$228,MATCH($G173,Variación!$A$3:$A$228,0)),1),3))</f>
        <v>5.6000000000000001E-2</v>
      </c>
    </row>
    <row r="174" spans="1:16" ht="34.5" hidden="1" customHeight="1" x14ac:dyDescent="0.25">
      <c r="A174" s="15" t="s">
        <v>571</v>
      </c>
      <c r="B174" s="15" t="s">
        <v>572</v>
      </c>
      <c r="C174" s="16" t="s">
        <v>68</v>
      </c>
      <c r="D174" s="17" t="s">
        <v>29</v>
      </c>
      <c r="E174" s="16" t="s">
        <v>30</v>
      </c>
      <c r="F174" s="16" t="s">
        <v>31</v>
      </c>
      <c r="G174" s="18" t="s">
        <v>573</v>
      </c>
      <c r="H174" s="18"/>
      <c r="I174" s="18" t="s">
        <v>549</v>
      </c>
      <c r="J174" s="18" t="s">
        <v>45</v>
      </c>
      <c r="K174" s="19">
        <f>ROUND(INDEX('Stats base'!B$5:B$8,MATCH($C174,'Stats base'!$A$5:$A$8,0))*INDEX('Stats base'!B$12:B$14,MATCH($E174,'Stats base'!$A$12:$A$14,0))*INDEX('Stats base'!B$18:B$22,MATCH($J174,'Stats base'!$A$18:$A$22,0))*IFERROR(INDEX(Variación!C$3:C$228,MATCH($G174,Variación!$A$3:$A$228,0)),1),0)</f>
        <v>121</v>
      </c>
      <c r="L174" s="20">
        <f>ROUND(INDEX('Stats base'!C$5:C$8,MATCH($C174,'Stats base'!$A$5:$A$8,0))*INDEX('Stats base'!C$12:C$14,MATCH($E174,'Stats base'!$A$12:$A$14,0))*INDEX('Stats base'!C$18:C$22,MATCH($J174,'Stats base'!$A$18:$A$22,0))*IFERROR(INDEX(Variación!D$3:D$228,MATCH($G174,Variación!$A$3:$A$228,0)),1),1)</f>
        <v>19</v>
      </c>
      <c r="M174" s="20">
        <f>ROUND(INDEX('Stats base'!D$5:D$8,MATCH($C174,'Stats base'!$A$5:$A$8,0))*INDEX('Stats base'!D$12:D$14,MATCH($E174,'Stats base'!$A$12:$A$14,0))*INDEX('Stats base'!D$18:D$22,MATCH($J174,'Stats base'!$A$18:$A$22,0))*IFERROR(INDEX(Variación!E$3:E$228,MATCH($G174,Variación!$A$3:$A$228,0)),1),1)</f>
        <v>31.6</v>
      </c>
      <c r="N174" s="20">
        <f>ROUND(INDEX('Stats base'!E$5:E$8,MATCH($C174,'Stats base'!$A$5:$A$8,0))*INDEX('Stats base'!E$12:E$14,MATCH($E174,'Stats base'!$A$12:$A$14,0))*INDEX('Stats base'!E$18:E$22,MATCH($J174,'Stats base'!$A$18:$A$22,0))*IFERROR(INDEX(Variación!F$3:F$228,MATCH($G174,Variación!$A$3:$A$228,0)),1),1)</f>
        <v>4.7</v>
      </c>
      <c r="O174" s="19">
        <f>ROUND(INDEX('Stats base'!F$5:F$8,MATCH($C174,'Stats base'!$A$5:$A$8,0))*INDEX('Stats base'!F$12:F$14,MATCH($E174,'Stats base'!$A$12:$A$14,0))*INDEX('Stats base'!F$18:F$22,MATCH($J174,'Stats base'!$A$18:$A$22,0))*IFERROR(INDEX(Variación!G$3:G$228,MATCH($G174,Variación!$A$3:$A$228,0)),1),0)</f>
        <v>103</v>
      </c>
      <c r="P174" s="21">
        <f>MIN('Stats base'!$G$30,ROUND(INDEX('Stats base'!G$5:G$8,MATCH($C174,'Stats base'!$A$5:$A$8,0))*INDEX('Stats base'!G$12:G$14,MATCH($E174,'Stats base'!$A$12:$A$14,0))*INDEX('Stats base'!G$18:G$22,MATCH($J174,'Stats base'!$A$18:$A$22,0))*IFERROR(INDEX(Variación!H$3:H$228,MATCH($G174,Variación!$A$3:$A$228,0)),1),3))</f>
        <v>3.6999999999999998E-2</v>
      </c>
    </row>
    <row r="175" spans="1:16" ht="34.5" hidden="1" customHeight="1" x14ac:dyDescent="0.25">
      <c r="A175" s="15" t="s">
        <v>4</v>
      </c>
      <c r="B175" s="15" t="s">
        <v>574</v>
      </c>
      <c r="C175" s="16" t="s">
        <v>58</v>
      </c>
      <c r="D175" s="17" t="s">
        <v>29</v>
      </c>
      <c r="E175" s="16" t="s">
        <v>30</v>
      </c>
      <c r="F175" s="16" t="s">
        <v>31</v>
      </c>
      <c r="G175" s="18" t="s">
        <v>575</v>
      </c>
      <c r="H175" s="18"/>
      <c r="I175" s="18" t="s">
        <v>549</v>
      </c>
      <c r="J175" s="18" t="s">
        <v>34</v>
      </c>
      <c r="K175" s="19">
        <f>ROUND(INDEX('Stats base'!B$5:B$8,MATCH($C175,'Stats base'!$A$5:$A$8,0))*INDEX('Stats base'!B$12:B$14,MATCH($E175,'Stats base'!$A$12:$A$14,0))*INDEX('Stats base'!B$18:B$22,MATCH($J175,'Stats base'!$A$18:$A$22,0))*IFERROR(INDEX(Variación!C$3:C$228,MATCH($G175,Variación!$A$3:$A$228,0)),1),0)</f>
        <v>153</v>
      </c>
      <c r="L175" s="20">
        <f>ROUND(INDEX('Stats base'!C$5:C$8,MATCH($C175,'Stats base'!$A$5:$A$8,0))*INDEX('Stats base'!C$12:C$14,MATCH($E175,'Stats base'!$A$12:$A$14,0))*INDEX('Stats base'!C$18:C$22,MATCH($J175,'Stats base'!$A$18:$A$22,0))*IFERROR(INDEX(Variación!D$3:D$228,MATCH($G175,Variación!$A$3:$A$228,0)),1),1)</f>
        <v>21.1</v>
      </c>
      <c r="M175" s="20">
        <f>ROUND(INDEX('Stats base'!D$5:D$8,MATCH($C175,'Stats base'!$A$5:$A$8,0))*INDEX('Stats base'!D$12:D$14,MATCH($E175,'Stats base'!$A$12:$A$14,0))*INDEX('Stats base'!D$18:D$22,MATCH($J175,'Stats base'!$A$18:$A$22,0))*IFERROR(INDEX(Variación!E$3:E$228,MATCH($G175,Variación!$A$3:$A$228,0)),1),1)</f>
        <v>35.4</v>
      </c>
      <c r="N175" s="20">
        <f>ROUND(INDEX('Stats base'!E$5:E$8,MATCH($C175,'Stats base'!$A$5:$A$8,0))*INDEX('Stats base'!E$12:E$14,MATCH($E175,'Stats base'!$A$12:$A$14,0))*INDEX('Stats base'!E$18:E$22,MATCH($J175,'Stats base'!$A$18:$A$22,0))*IFERROR(INDEX(Variación!F$3:F$228,MATCH($G175,Variación!$A$3:$A$228,0)),1),1)</f>
        <v>7</v>
      </c>
      <c r="O175" s="19">
        <f>ROUND(INDEX('Stats base'!F$5:F$8,MATCH($C175,'Stats base'!$A$5:$A$8,0))*INDEX('Stats base'!F$12:F$14,MATCH($E175,'Stats base'!$A$12:$A$14,0))*INDEX('Stats base'!F$18:F$22,MATCH($J175,'Stats base'!$A$18:$A$22,0))*IFERROR(INDEX(Variación!G$3:G$228,MATCH($G175,Variación!$A$3:$A$228,0)),1),0)</f>
        <v>122</v>
      </c>
      <c r="P175" s="21">
        <f>MIN('Stats base'!$G$30,ROUND(INDEX('Stats base'!G$5:G$8,MATCH($C175,'Stats base'!$A$5:$A$8,0))*INDEX('Stats base'!G$12:G$14,MATCH($E175,'Stats base'!$A$12:$A$14,0))*INDEX('Stats base'!G$18:G$22,MATCH($J175,'Stats base'!$A$18:$A$22,0))*IFERROR(INDEX(Variación!H$3:H$228,MATCH($G175,Variación!$A$3:$A$228,0)),1),3))</f>
        <v>9.0999999999999998E-2</v>
      </c>
    </row>
    <row r="176" spans="1:16" ht="34.5" hidden="1" customHeight="1" x14ac:dyDescent="0.25">
      <c r="A176" s="15" t="s">
        <v>576</v>
      </c>
      <c r="B176" s="15" t="s">
        <v>577</v>
      </c>
      <c r="C176" s="16" t="s">
        <v>58</v>
      </c>
      <c r="D176" s="17" t="s">
        <v>29</v>
      </c>
      <c r="E176" s="16" t="s">
        <v>30</v>
      </c>
      <c r="F176" s="16" t="s">
        <v>31</v>
      </c>
      <c r="G176" s="18" t="s">
        <v>578</v>
      </c>
      <c r="H176" s="18"/>
      <c r="I176" s="18" t="s">
        <v>549</v>
      </c>
      <c r="J176" s="18" t="s">
        <v>70</v>
      </c>
      <c r="K176" s="19">
        <f>ROUND(INDEX('Stats base'!B$5:B$8,MATCH($C176,'Stats base'!$A$5:$A$8,0))*INDEX('Stats base'!B$12:B$14,MATCH($E176,'Stats base'!$A$12:$A$14,0))*INDEX('Stats base'!B$18:B$22,MATCH($J176,'Stats base'!$A$18:$A$22,0))*IFERROR(INDEX(Variación!C$3:C$228,MATCH($G176,Variación!$A$3:$A$228,0)),1),0)</f>
        <v>109</v>
      </c>
      <c r="L176" s="20">
        <f>ROUND(INDEX('Stats base'!C$5:C$8,MATCH($C176,'Stats base'!$A$5:$A$8,0))*INDEX('Stats base'!C$12:C$14,MATCH($E176,'Stats base'!$A$12:$A$14,0))*INDEX('Stats base'!C$18:C$22,MATCH($J176,'Stats base'!$A$18:$A$22,0))*IFERROR(INDEX(Variación!D$3:D$228,MATCH($G176,Variación!$A$3:$A$228,0)),1),1)</f>
        <v>11.7</v>
      </c>
      <c r="M176" s="20">
        <f>ROUND(INDEX('Stats base'!D$5:D$8,MATCH($C176,'Stats base'!$A$5:$A$8,0))*INDEX('Stats base'!D$12:D$14,MATCH($E176,'Stats base'!$A$12:$A$14,0))*INDEX('Stats base'!D$18:D$22,MATCH($J176,'Stats base'!$A$18:$A$22,0))*IFERROR(INDEX(Variación!E$3:E$228,MATCH($G176,Variación!$A$3:$A$228,0)),1),1)</f>
        <v>19.399999999999999</v>
      </c>
      <c r="N176" s="20">
        <f>ROUND(INDEX('Stats base'!E$5:E$8,MATCH($C176,'Stats base'!$A$5:$A$8,0))*INDEX('Stats base'!E$12:E$14,MATCH($E176,'Stats base'!$A$12:$A$14,0))*INDEX('Stats base'!E$18:E$22,MATCH($J176,'Stats base'!$A$18:$A$22,0))*IFERROR(INDEX(Variación!F$3:F$228,MATCH($G176,Variación!$A$3:$A$228,0)),1),1)</f>
        <v>4.9000000000000004</v>
      </c>
      <c r="O176" s="19">
        <f>ROUND(INDEX('Stats base'!F$5:F$8,MATCH($C176,'Stats base'!$A$5:$A$8,0))*INDEX('Stats base'!F$12:F$14,MATCH($E176,'Stats base'!$A$12:$A$14,0))*INDEX('Stats base'!F$18:F$22,MATCH($J176,'Stats base'!$A$18:$A$22,0))*IFERROR(INDEX(Variación!G$3:G$228,MATCH($G176,Variación!$A$3:$A$228,0)),1),0)</f>
        <v>103</v>
      </c>
      <c r="P176" s="21">
        <f>MIN('Stats base'!$G$30,ROUND(INDEX('Stats base'!G$5:G$8,MATCH($C176,'Stats base'!$A$5:$A$8,0))*INDEX('Stats base'!G$12:G$14,MATCH($E176,'Stats base'!$A$12:$A$14,0))*INDEX('Stats base'!G$18:G$22,MATCH($J176,'Stats base'!$A$18:$A$22,0))*IFERROR(INDEX(Variación!H$3:H$228,MATCH($G176,Variación!$A$3:$A$228,0)),1),3))</f>
        <v>4.9000000000000002E-2</v>
      </c>
    </row>
    <row r="177" spans="1:16" ht="34.5" hidden="1" customHeight="1" x14ac:dyDescent="0.25">
      <c r="A177" s="15" t="s">
        <v>579</v>
      </c>
      <c r="B177" s="15" t="s">
        <v>580</v>
      </c>
      <c r="C177" s="16" t="s">
        <v>28</v>
      </c>
      <c r="D177" s="17" t="s">
        <v>29</v>
      </c>
      <c r="E177" s="16" t="s">
        <v>30</v>
      </c>
      <c r="F177" s="16" t="s">
        <v>38</v>
      </c>
      <c r="G177" s="18" t="s">
        <v>581</v>
      </c>
      <c r="H177" s="18"/>
      <c r="I177" s="18" t="s">
        <v>549</v>
      </c>
      <c r="J177" s="18" t="s">
        <v>50</v>
      </c>
      <c r="K177" s="19">
        <f>ROUND(INDEX('Stats base'!B$5:B$8,MATCH($C177,'Stats base'!$A$5:$A$8,0))*INDEX('Stats base'!B$12:B$14,MATCH($E177,'Stats base'!$A$12:$A$14,0))*INDEX('Stats base'!B$18:B$22,MATCH($J177,'Stats base'!$A$18:$A$22,0))*IFERROR(INDEX(Variación!C$3:C$228,MATCH($G177,Variación!$A$3:$A$228,0)),1),0)</f>
        <v>127</v>
      </c>
      <c r="L177" s="20">
        <f>ROUND(INDEX('Stats base'!C$5:C$8,MATCH($C177,'Stats base'!$A$5:$A$8,0))*INDEX('Stats base'!C$12:C$14,MATCH($E177,'Stats base'!$A$12:$A$14,0))*INDEX('Stats base'!C$18:C$22,MATCH($J177,'Stats base'!$A$18:$A$22,0))*IFERROR(INDEX(Variación!D$3:D$228,MATCH($G177,Variación!$A$3:$A$228,0)),1),1)</f>
        <v>9.3000000000000007</v>
      </c>
      <c r="M177" s="20">
        <f>ROUND(INDEX('Stats base'!D$5:D$8,MATCH($C177,'Stats base'!$A$5:$A$8,0))*INDEX('Stats base'!D$12:D$14,MATCH($E177,'Stats base'!$A$12:$A$14,0))*INDEX('Stats base'!D$18:D$22,MATCH($J177,'Stats base'!$A$18:$A$22,0))*IFERROR(INDEX(Variación!E$3:E$228,MATCH($G177,Variación!$A$3:$A$228,0)),1),1)</f>
        <v>18.7</v>
      </c>
      <c r="N177" s="20">
        <f>ROUND(INDEX('Stats base'!E$5:E$8,MATCH($C177,'Stats base'!$A$5:$A$8,0))*INDEX('Stats base'!E$12:E$14,MATCH($E177,'Stats base'!$A$12:$A$14,0))*INDEX('Stats base'!E$18:E$22,MATCH($J177,'Stats base'!$A$18:$A$22,0))*IFERROR(INDEX(Variación!F$3:F$228,MATCH($G177,Variación!$A$3:$A$228,0)),1),1)</f>
        <v>8.1999999999999993</v>
      </c>
      <c r="O177" s="19">
        <f>ROUND(INDEX('Stats base'!F$5:F$8,MATCH($C177,'Stats base'!$A$5:$A$8,0))*INDEX('Stats base'!F$12:F$14,MATCH($E177,'Stats base'!$A$12:$A$14,0))*INDEX('Stats base'!F$18:F$22,MATCH($J177,'Stats base'!$A$18:$A$22,0))*IFERROR(INDEX(Variación!G$3:G$228,MATCH($G177,Variación!$A$3:$A$228,0)),1),0)</f>
        <v>74</v>
      </c>
      <c r="P177" s="21">
        <f>MIN('Stats base'!$G$30,ROUND(INDEX('Stats base'!G$5:G$8,MATCH($C177,'Stats base'!$A$5:$A$8,0))*INDEX('Stats base'!G$12:G$14,MATCH($E177,'Stats base'!$A$12:$A$14,0))*INDEX('Stats base'!G$18:G$22,MATCH($J177,'Stats base'!$A$18:$A$22,0))*IFERROR(INDEX(Variación!H$3:H$228,MATCH($G177,Variación!$A$3:$A$228,0)),1),3))</f>
        <v>8.9999999999999993E-3</v>
      </c>
    </row>
    <row r="178" spans="1:16" ht="34.5" hidden="1" customHeight="1" x14ac:dyDescent="0.25">
      <c r="A178" s="15" t="s">
        <v>582</v>
      </c>
      <c r="B178" s="15" t="s">
        <v>583</v>
      </c>
      <c r="C178" s="16" t="s">
        <v>68</v>
      </c>
      <c r="D178" s="17" t="s">
        <v>29</v>
      </c>
      <c r="E178" s="16" t="s">
        <v>30</v>
      </c>
      <c r="F178" s="16" t="s">
        <v>43</v>
      </c>
      <c r="G178" s="18" t="s">
        <v>584</v>
      </c>
      <c r="H178" s="18"/>
      <c r="I178" s="18" t="s">
        <v>549</v>
      </c>
      <c r="J178" s="18" t="s">
        <v>50</v>
      </c>
      <c r="K178" s="19">
        <f>ROUND(INDEX('Stats base'!B$5:B$8,MATCH($C178,'Stats base'!$A$5:$A$8,0))*INDEX('Stats base'!B$12:B$14,MATCH($E178,'Stats base'!$A$12:$A$14,0))*INDEX('Stats base'!B$18:B$22,MATCH($J178,'Stats base'!$A$18:$A$22,0))*IFERROR(INDEX(Variación!C$3:C$228,MATCH($G178,Variación!$A$3:$A$228,0)),1),0)</f>
        <v>92</v>
      </c>
      <c r="L178" s="20">
        <f>ROUND(INDEX('Stats base'!C$5:C$8,MATCH($C178,'Stats base'!$A$5:$A$8,0))*INDEX('Stats base'!C$12:C$14,MATCH($E178,'Stats base'!$A$12:$A$14,0))*INDEX('Stats base'!C$18:C$22,MATCH($J178,'Stats base'!$A$18:$A$22,0))*IFERROR(INDEX(Variación!D$3:D$228,MATCH($G178,Variación!$A$3:$A$228,0)),1),1)</f>
        <v>12.5</v>
      </c>
      <c r="M178" s="20">
        <f>ROUND(INDEX('Stats base'!D$5:D$8,MATCH($C178,'Stats base'!$A$5:$A$8,0))*INDEX('Stats base'!D$12:D$14,MATCH($E178,'Stats base'!$A$12:$A$14,0))*INDEX('Stats base'!D$18:D$22,MATCH($J178,'Stats base'!$A$18:$A$22,0))*IFERROR(INDEX(Variación!E$3:E$228,MATCH($G178,Variación!$A$3:$A$228,0)),1),1)</f>
        <v>20.6</v>
      </c>
      <c r="N178" s="20">
        <f>ROUND(INDEX('Stats base'!E$5:E$8,MATCH($C178,'Stats base'!$A$5:$A$8,0))*INDEX('Stats base'!E$12:E$14,MATCH($E178,'Stats base'!$A$12:$A$14,0))*INDEX('Stats base'!E$18:E$22,MATCH($J178,'Stats base'!$A$18:$A$22,0))*IFERROR(INDEX(Variación!F$3:F$228,MATCH($G178,Variación!$A$3:$A$228,0)),1),1)</f>
        <v>3.5</v>
      </c>
      <c r="O178" s="19">
        <f>ROUND(INDEX('Stats base'!F$5:F$8,MATCH($C178,'Stats base'!$A$5:$A$8,0))*INDEX('Stats base'!F$12:F$14,MATCH($E178,'Stats base'!$A$12:$A$14,0))*INDEX('Stats base'!F$18:F$22,MATCH($J178,'Stats base'!$A$18:$A$22,0))*IFERROR(INDEX(Variación!G$3:G$228,MATCH($G178,Variación!$A$3:$A$228,0)),1),0)</f>
        <v>98</v>
      </c>
      <c r="P178" s="21">
        <f>MIN('Stats base'!$G$30,ROUND(INDEX('Stats base'!G$5:G$8,MATCH($C178,'Stats base'!$A$5:$A$8,0))*INDEX('Stats base'!G$12:G$14,MATCH($E178,'Stats base'!$A$12:$A$14,0))*INDEX('Stats base'!G$18:G$22,MATCH($J178,'Stats base'!$A$18:$A$22,0))*IFERROR(INDEX(Variación!H$3:H$228,MATCH($G178,Variación!$A$3:$A$228,0)),1),3))</f>
        <v>2.4E-2</v>
      </c>
    </row>
    <row r="179" spans="1:16" ht="34.5" hidden="1" customHeight="1" x14ac:dyDescent="0.25">
      <c r="A179" s="15" t="s">
        <v>585</v>
      </c>
      <c r="B179" s="15" t="s">
        <v>586</v>
      </c>
      <c r="C179" s="16" t="s">
        <v>37</v>
      </c>
      <c r="D179" s="17" t="s">
        <v>29</v>
      </c>
      <c r="E179" s="16" t="s">
        <v>42</v>
      </c>
      <c r="F179" s="16" t="s">
        <v>54</v>
      </c>
      <c r="G179" s="18" t="s">
        <v>587</v>
      </c>
      <c r="H179" s="18"/>
      <c r="I179" s="18" t="s">
        <v>549</v>
      </c>
      <c r="J179" s="18" t="s">
        <v>50</v>
      </c>
      <c r="K179" s="19">
        <f>ROUND(INDEX('Stats base'!B$5:B$8,MATCH($C179,'Stats base'!$A$5:$A$8,0))*INDEX('Stats base'!B$12:B$14,MATCH($E179,'Stats base'!$A$12:$A$14,0))*INDEX('Stats base'!B$18:B$22,MATCH($J179,'Stats base'!$A$18:$A$22,0))*IFERROR(INDEX(Variación!C$3:C$228,MATCH($G179,Variación!$A$3:$A$228,0)),1),0)</f>
        <v>150</v>
      </c>
      <c r="L179" s="20">
        <f>ROUND(INDEX('Stats base'!C$5:C$8,MATCH($C179,'Stats base'!$A$5:$A$8,0))*INDEX('Stats base'!C$12:C$14,MATCH($E179,'Stats base'!$A$12:$A$14,0))*INDEX('Stats base'!C$18:C$22,MATCH($J179,'Stats base'!$A$18:$A$22,0))*IFERROR(INDEX(Variación!D$3:D$228,MATCH($G179,Variación!$A$3:$A$228,0)),1),1)</f>
        <v>8.5</v>
      </c>
      <c r="M179" s="20">
        <f>ROUND(INDEX('Stats base'!D$5:D$8,MATCH($C179,'Stats base'!$A$5:$A$8,0))*INDEX('Stats base'!D$12:D$14,MATCH($E179,'Stats base'!$A$12:$A$14,0))*INDEX('Stats base'!D$18:D$22,MATCH($J179,'Stats base'!$A$18:$A$22,0))*IFERROR(INDEX(Variación!E$3:E$228,MATCH($G179,Variación!$A$3:$A$228,0)),1),1)</f>
        <v>14.4</v>
      </c>
      <c r="N179" s="20">
        <f>ROUND(INDEX('Stats base'!E$5:E$8,MATCH($C179,'Stats base'!$A$5:$A$8,0))*INDEX('Stats base'!E$12:E$14,MATCH($E179,'Stats base'!$A$12:$A$14,0))*INDEX('Stats base'!E$18:E$22,MATCH($J179,'Stats base'!$A$18:$A$22,0))*IFERROR(INDEX(Variación!F$3:F$228,MATCH($G179,Variación!$A$3:$A$228,0)),1),1)</f>
        <v>9.8000000000000007</v>
      </c>
      <c r="O179" s="19">
        <f>ROUND(INDEX('Stats base'!F$5:F$8,MATCH($C179,'Stats base'!$A$5:$A$8,0))*INDEX('Stats base'!F$12:F$14,MATCH($E179,'Stats base'!$A$12:$A$14,0))*INDEX('Stats base'!F$18:F$22,MATCH($J179,'Stats base'!$A$18:$A$22,0))*IFERROR(INDEX(Variación!G$3:G$228,MATCH($G179,Variación!$A$3:$A$228,0)),1),0)</f>
        <v>78</v>
      </c>
      <c r="P179" s="21">
        <f>MIN('Stats base'!$G$30,ROUND(INDEX('Stats base'!G$5:G$8,MATCH($C179,'Stats base'!$A$5:$A$8,0))*INDEX('Stats base'!G$12:G$14,MATCH($E179,'Stats base'!$A$12:$A$14,0))*INDEX('Stats base'!G$18:G$22,MATCH($J179,'Stats base'!$A$18:$A$22,0))*IFERROR(INDEX(Variación!H$3:H$228,MATCH($G179,Variación!$A$3:$A$228,0)),1),3))</f>
        <v>1.2E-2</v>
      </c>
    </row>
    <row r="180" spans="1:16" ht="34.5" hidden="1" customHeight="1" x14ac:dyDescent="0.25">
      <c r="A180" s="15" t="s">
        <v>588</v>
      </c>
      <c r="B180" s="15" t="s">
        <v>589</v>
      </c>
      <c r="C180" s="16" t="s">
        <v>37</v>
      </c>
      <c r="D180" s="17" t="s">
        <v>29</v>
      </c>
      <c r="E180" s="16" t="s">
        <v>30</v>
      </c>
      <c r="F180" s="16" t="s">
        <v>48</v>
      </c>
      <c r="G180" s="18" t="s">
        <v>590</v>
      </c>
      <c r="H180" s="18"/>
      <c r="I180" s="18" t="s">
        <v>549</v>
      </c>
      <c r="J180" s="18" t="s">
        <v>50</v>
      </c>
      <c r="K180" s="19">
        <f>ROUND(INDEX('Stats base'!B$5:B$8,MATCH($C180,'Stats base'!$A$5:$A$8,0))*INDEX('Stats base'!B$12:B$14,MATCH($E180,'Stats base'!$A$12:$A$14,0))*INDEX('Stats base'!B$18:B$22,MATCH($J180,'Stats base'!$A$18:$A$22,0))*IFERROR(INDEX(Variación!C$3:C$228,MATCH($G180,Variación!$A$3:$A$228,0)),1),0)</f>
        <v>139</v>
      </c>
      <c r="L180" s="20">
        <f>ROUND(INDEX('Stats base'!C$5:C$8,MATCH($C180,'Stats base'!$A$5:$A$8,0))*INDEX('Stats base'!C$12:C$14,MATCH($E180,'Stats base'!$A$12:$A$14,0))*INDEX('Stats base'!C$18:C$22,MATCH($J180,'Stats base'!$A$18:$A$22,0))*IFERROR(INDEX(Variación!D$3:D$228,MATCH($G180,Variación!$A$3:$A$228,0)),1),1)</f>
        <v>7.4</v>
      </c>
      <c r="M180" s="20">
        <f>ROUND(INDEX('Stats base'!D$5:D$8,MATCH($C180,'Stats base'!$A$5:$A$8,0))*INDEX('Stats base'!D$12:D$14,MATCH($E180,'Stats base'!$A$12:$A$14,0))*INDEX('Stats base'!D$18:D$22,MATCH($J180,'Stats base'!$A$18:$A$22,0))*IFERROR(INDEX(Variación!E$3:E$228,MATCH($G180,Variación!$A$3:$A$228,0)),1),1)</f>
        <v>12.8</v>
      </c>
      <c r="N180" s="20">
        <f>ROUND(INDEX('Stats base'!E$5:E$8,MATCH($C180,'Stats base'!$A$5:$A$8,0))*INDEX('Stats base'!E$12:E$14,MATCH($E180,'Stats base'!$A$12:$A$14,0))*INDEX('Stats base'!E$18:E$22,MATCH($J180,'Stats base'!$A$18:$A$22,0))*IFERROR(INDEX(Variación!F$3:F$228,MATCH($G180,Variación!$A$3:$A$228,0)),1),1)</f>
        <v>8.9</v>
      </c>
      <c r="O180" s="19">
        <f>ROUND(INDEX('Stats base'!F$5:F$8,MATCH($C180,'Stats base'!$A$5:$A$8,0))*INDEX('Stats base'!F$12:F$14,MATCH($E180,'Stats base'!$A$12:$A$14,0))*INDEX('Stats base'!F$18:F$22,MATCH($J180,'Stats base'!$A$18:$A$22,0))*IFERROR(INDEX(Variación!G$3:G$228,MATCH($G180,Variación!$A$3:$A$228,0)),1),0)</f>
        <v>93</v>
      </c>
      <c r="P180" s="21">
        <f>MIN('Stats base'!$G$30,ROUND(INDEX('Stats base'!G$5:G$8,MATCH($C180,'Stats base'!$A$5:$A$8,0))*INDEX('Stats base'!G$12:G$14,MATCH($E180,'Stats base'!$A$12:$A$14,0))*INDEX('Stats base'!G$18:G$22,MATCH($J180,'Stats base'!$A$18:$A$22,0))*IFERROR(INDEX(Variación!H$3:H$228,MATCH($G180,Variación!$A$3:$A$228,0)),1),3))</f>
        <v>1.6E-2</v>
      </c>
    </row>
    <row r="181" spans="1:16" ht="34.5" hidden="1" customHeight="1" x14ac:dyDescent="0.25">
      <c r="A181" s="15" t="s">
        <v>591</v>
      </c>
      <c r="B181" s="15" t="s">
        <v>592</v>
      </c>
      <c r="C181" s="16" t="s">
        <v>58</v>
      </c>
      <c r="D181" s="17" t="s">
        <v>29</v>
      </c>
      <c r="E181" s="16" t="s">
        <v>30</v>
      </c>
      <c r="F181" s="16" t="s">
        <v>75</v>
      </c>
      <c r="G181" s="18" t="s">
        <v>593</v>
      </c>
      <c r="H181" s="18"/>
      <c r="I181" s="18" t="s">
        <v>549</v>
      </c>
      <c r="J181" s="18" t="s">
        <v>50</v>
      </c>
      <c r="K181" s="19">
        <f>ROUND(INDEX('Stats base'!B$5:B$8,MATCH($C181,'Stats base'!$A$5:$A$8,0))*INDEX('Stats base'!B$12:B$14,MATCH($E181,'Stats base'!$A$12:$A$14,0))*INDEX('Stats base'!B$18:B$22,MATCH($J181,'Stats base'!$A$18:$A$22,0))*IFERROR(INDEX(Variación!C$3:C$228,MATCH($G181,Variación!$A$3:$A$228,0)),1),0)</f>
        <v>114</v>
      </c>
      <c r="L181" s="20">
        <f>ROUND(INDEX('Stats base'!C$5:C$8,MATCH($C181,'Stats base'!$A$5:$A$8,0))*INDEX('Stats base'!C$12:C$14,MATCH($E181,'Stats base'!$A$12:$A$14,0))*INDEX('Stats base'!C$18:C$22,MATCH($J181,'Stats base'!$A$18:$A$22,0))*IFERROR(INDEX(Variación!D$3:D$228,MATCH($G181,Variación!$A$3:$A$228,0)),1),1)</f>
        <v>9.9</v>
      </c>
      <c r="M181" s="20">
        <f>ROUND(INDEX('Stats base'!D$5:D$8,MATCH($C181,'Stats base'!$A$5:$A$8,0))*INDEX('Stats base'!D$12:D$14,MATCH($E181,'Stats base'!$A$12:$A$14,0))*INDEX('Stats base'!D$18:D$22,MATCH($J181,'Stats base'!$A$18:$A$22,0))*IFERROR(INDEX(Variación!E$3:E$228,MATCH($G181,Variación!$A$3:$A$228,0)),1),1)</f>
        <v>17.7</v>
      </c>
      <c r="N181" s="20">
        <f>ROUND(INDEX('Stats base'!E$5:E$8,MATCH($C181,'Stats base'!$A$5:$A$8,0))*INDEX('Stats base'!E$12:E$14,MATCH($E181,'Stats base'!$A$12:$A$14,0))*INDEX('Stats base'!E$18:E$22,MATCH($J181,'Stats base'!$A$18:$A$22,0))*IFERROR(INDEX(Variación!F$3:F$228,MATCH($G181,Variación!$A$3:$A$228,0)),1),1)</f>
        <v>5.0999999999999996</v>
      </c>
      <c r="O181" s="19">
        <f>ROUND(INDEX('Stats base'!F$5:F$8,MATCH($C181,'Stats base'!$A$5:$A$8,0))*INDEX('Stats base'!F$12:F$14,MATCH($E181,'Stats base'!$A$12:$A$14,0))*INDEX('Stats base'!F$18:F$22,MATCH($J181,'Stats base'!$A$18:$A$22,0))*IFERROR(INDEX(Variación!G$3:G$228,MATCH($G181,Variación!$A$3:$A$228,0)),1),0)</f>
        <v>112</v>
      </c>
      <c r="P181" s="21">
        <f>MIN('Stats base'!$G$30,ROUND(INDEX('Stats base'!G$5:G$8,MATCH($C181,'Stats base'!$A$5:$A$8,0))*INDEX('Stats base'!G$12:G$14,MATCH($E181,'Stats base'!$A$12:$A$14,0))*INDEX('Stats base'!G$18:G$22,MATCH($J181,'Stats base'!$A$18:$A$22,0))*IFERROR(INDEX(Variación!H$3:H$228,MATCH($G181,Variación!$A$3:$A$228,0)),1),3))</f>
        <v>4.1000000000000002E-2</v>
      </c>
    </row>
    <row r="182" spans="1:16" ht="34.5" hidden="1" customHeight="1" x14ac:dyDescent="0.25">
      <c r="A182" s="15" t="s">
        <v>594</v>
      </c>
      <c r="B182" s="15" t="s">
        <v>595</v>
      </c>
      <c r="C182" s="16" t="s">
        <v>28</v>
      </c>
      <c r="D182" s="17" t="s">
        <v>29</v>
      </c>
      <c r="E182" s="16" t="s">
        <v>30</v>
      </c>
      <c r="F182" s="16" t="s">
        <v>38</v>
      </c>
      <c r="G182" s="18" t="s">
        <v>596</v>
      </c>
      <c r="H182" s="18"/>
      <c r="I182" s="18" t="s">
        <v>597</v>
      </c>
      <c r="J182" s="18" t="s">
        <v>50</v>
      </c>
      <c r="K182" s="19">
        <f>ROUND(INDEX('Stats base'!B$5:B$8,MATCH($C182,'Stats base'!$A$5:$A$8,0))*INDEX('Stats base'!B$12:B$14,MATCH($E182,'Stats base'!$A$12:$A$14,0))*INDEX('Stats base'!B$18:B$22,MATCH($J182,'Stats base'!$A$18:$A$22,0))*IFERROR(INDEX(Variación!C$3:C$228,MATCH($G182,Variación!$A$3:$A$228,0)),1),0)</f>
        <v>139</v>
      </c>
      <c r="L182" s="20">
        <f>ROUND(INDEX('Stats base'!C$5:C$8,MATCH($C182,'Stats base'!$A$5:$A$8,0))*INDEX('Stats base'!C$12:C$14,MATCH($E182,'Stats base'!$A$12:$A$14,0))*INDEX('Stats base'!C$18:C$22,MATCH($J182,'Stats base'!$A$18:$A$22,0))*IFERROR(INDEX(Variación!D$3:D$228,MATCH($G182,Variación!$A$3:$A$228,0)),1),1)</f>
        <v>9.3000000000000007</v>
      </c>
      <c r="M182" s="20">
        <f>ROUND(INDEX('Stats base'!D$5:D$8,MATCH($C182,'Stats base'!$A$5:$A$8,0))*INDEX('Stats base'!D$12:D$14,MATCH($E182,'Stats base'!$A$12:$A$14,0))*INDEX('Stats base'!D$18:D$22,MATCH($J182,'Stats base'!$A$18:$A$22,0))*IFERROR(INDEX(Variación!E$3:E$228,MATCH($G182,Variación!$A$3:$A$228,0)),1),1)</f>
        <v>21.6</v>
      </c>
      <c r="N182" s="20">
        <f>ROUND(INDEX('Stats base'!E$5:E$8,MATCH($C182,'Stats base'!$A$5:$A$8,0))*INDEX('Stats base'!E$12:E$14,MATCH($E182,'Stats base'!$A$12:$A$14,0))*INDEX('Stats base'!E$18:E$22,MATCH($J182,'Stats base'!$A$18:$A$22,0))*IFERROR(INDEX(Variación!F$3:F$228,MATCH($G182,Variación!$A$3:$A$228,0)),1),1)</f>
        <v>8.3000000000000007</v>
      </c>
      <c r="O182" s="19">
        <f>ROUND(INDEX('Stats base'!F$5:F$8,MATCH($C182,'Stats base'!$A$5:$A$8,0))*INDEX('Stats base'!F$12:F$14,MATCH($E182,'Stats base'!$A$12:$A$14,0))*INDEX('Stats base'!F$18:F$22,MATCH($J182,'Stats base'!$A$18:$A$22,0))*IFERROR(INDEX(Variación!G$3:G$228,MATCH($G182,Variación!$A$3:$A$228,0)),1),0)</f>
        <v>84</v>
      </c>
      <c r="P182" s="21">
        <f>MIN('Stats base'!$G$30,ROUND(INDEX('Stats base'!G$5:G$8,MATCH($C182,'Stats base'!$A$5:$A$8,0))*INDEX('Stats base'!G$12:G$14,MATCH($E182,'Stats base'!$A$12:$A$14,0))*INDEX('Stats base'!G$18:G$22,MATCH($J182,'Stats base'!$A$18:$A$22,0))*IFERROR(INDEX(Variación!H$3:H$228,MATCH($G182,Variación!$A$3:$A$228,0)),1),3))</f>
        <v>8.9999999999999993E-3</v>
      </c>
    </row>
    <row r="183" spans="1:16" ht="34.5" customHeight="1" x14ac:dyDescent="0.25">
      <c r="A183" s="15" t="s">
        <v>598</v>
      </c>
      <c r="B183" s="15" t="s">
        <v>599</v>
      </c>
      <c r="C183" s="16" t="s">
        <v>37</v>
      </c>
      <c r="D183" s="17" t="s">
        <v>29</v>
      </c>
      <c r="E183" s="16" t="s">
        <v>53</v>
      </c>
      <c r="F183" s="16" t="s">
        <v>38</v>
      </c>
      <c r="G183" s="18" t="s">
        <v>600</v>
      </c>
      <c r="H183" s="18"/>
      <c r="I183" s="18" t="s">
        <v>597</v>
      </c>
      <c r="J183" s="18" t="s">
        <v>85</v>
      </c>
      <c r="K183" s="19">
        <f>ROUND(INDEX('Stats base'!B$5:B$8,MATCH($C183,'Stats base'!$A$5:$A$8,0))*INDEX('Stats base'!B$12:B$14,MATCH($E183,'Stats base'!$A$12:$A$14,0))*INDEX('Stats base'!B$18:B$22,MATCH($J183,'Stats base'!$A$18:$A$22,0))*IFERROR(INDEX(Variación!C$3:C$228,MATCH($G183,Variación!$A$3:$A$228,0)),1),0)</f>
        <v>119</v>
      </c>
      <c r="L183" s="20">
        <f>ROUND(INDEX('Stats base'!C$5:C$8,MATCH($C183,'Stats base'!$A$5:$A$8,0))*INDEX('Stats base'!C$12:C$14,MATCH($E183,'Stats base'!$A$12:$A$14,0))*INDEX('Stats base'!C$18:C$22,MATCH($J183,'Stats base'!$A$18:$A$22,0))*IFERROR(INDEX(Variación!D$3:D$228,MATCH($G183,Variación!$A$3:$A$228,0)),1),1)</f>
        <v>7</v>
      </c>
      <c r="M183" s="20">
        <f>ROUND(INDEX('Stats base'!D$5:D$8,MATCH($C183,'Stats base'!$A$5:$A$8,0))*INDEX('Stats base'!D$12:D$14,MATCH($E183,'Stats base'!$A$12:$A$14,0))*INDEX('Stats base'!D$18:D$22,MATCH($J183,'Stats base'!$A$18:$A$22,0))*IFERROR(INDEX(Variación!E$3:E$228,MATCH($G183,Variación!$A$3:$A$228,0)),1),1)</f>
        <v>12.1</v>
      </c>
      <c r="N183" s="20">
        <f>ROUND(INDEX('Stats base'!E$5:E$8,MATCH($C183,'Stats base'!$A$5:$A$8,0))*INDEX('Stats base'!E$12:E$14,MATCH($E183,'Stats base'!$A$12:$A$14,0))*INDEX('Stats base'!E$18:E$22,MATCH($J183,'Stats base'!$A$18:$A$22,0))*IFERROR(INDEX(Variación!F$3:F$228,MATCH($G183,Variación!$A$3:$A$228,0)),1),1)</f>
        <v>7.2</v>
      </c>
      <c r="O183" s="19">
        <f>ROUND(INDEX('Stats base'!F$5:F$8,MATCH($C183,'Stats base'!$A$5:$A$8,0))*INDEX('Stats base'!F$12:F$14,MATCH($E183,'Stats base'!$A$12:$A$14,0))*INDEX('Stats base'!F$18:F$22,MATCH($J183,'Stats base'!$A$18:$A$22,0))*IFERROR(INDEX(Variación!G$3:G$228,MATCH($G183,Variación!$A$3:$A$228,0)),1),0)</f>
        <v>95</v>
      </c>
      <c r="P183" s="21">
        <f>MIN('Stats base'!$G$30,ROUND(INDEX('Stats base'!G$5:G$8,MATCH($C183,'Stats base'!$A$5:$A$8,0))*INDEX('Stats base'!G$12:G$14,MATCH($E183,'Stats base'!$A$12:$A$14,0))*INDEX('Stats base'!G$18:G$22,MATCH($J183,'Stats base'!$A$18:$A$22,0))*IFERROR(INDEX(Variación!H$3:H$228,MATCH($G183,Variación!$A$3:$A$228,0)),1),3))</f>
        <v>1.2999999999999999E-2</v>
      </c>
    </row>
    <row r="184" spans="1:16" ht="34.5" customHeight="1" x14ac:dyDescent="0.25">
      <c r="A184" s="15" t="s">
        <v>601</v>
      </c>
      <c r="B184" s="15" t="s">
        <v>602</v>
      </c>
      <c r="C184" s="16" t="s">
        <v>37</v>
      </c>
      <c r="D184" s="17" t="s">
        <v>29</v>
      </c>
      <c r="E184" s="16" t="s">
        <v>53</v>
      </c>
      <c r="F184" s="16" t="s">
        <v>38</v>
      </c>
      <c r="G184" s="18" t="s">
        <v>603</v>
      </c>
      <c r="H184" s="18"/>
      <c r="I184" s="18" t="s">
        <v>597</v>
      </c>
      <c r="J184" s="18" t="s">
        <v>85</v>
      </c>
      <c r="K184" s="19">
        <f>ROUND(INDEX('Stats base'!B$5:B$8,MATCH($C184,'Stats base'!$A$5:$A$8,0))*INDEX('Stats base'!B$12:B$14,MATCH($E184,'Stats base'!$A$12:$A$14,0))*INDEX('Stats base'!B$18:B$22,MATCH($J184,'Stats base'!$A$18:$A$22,0))*IFERROR(INDEX(Variación!C$3:C$228,MATCH($G184,Variación!$A$3:$A$228,0)),1),0)</f>
        <v>115</v>
      </c>
      <c r="L184" s="20">
        <f>ROUND(INDEX('Stats base'!C$5:C$8,MATCH($C184,'Stats base'!$A$5:$A$8,0))*INDEX('Stats base'!C$12:C$14,MATCH($E184,'Stats base'!$A$12:$A$14,0))*INDEX('Stats base'!C$18:C$22,MATCH($J184,'Stats base'!$A$18:$A$22,0))*IFERROR(INDEX(Variación!D$3:D$228,MATCH($G184,Variación!$A$3:$A$228,0)),1),1)</f>
        <v>6.1</v>
      </c>
      <c r="M184" s="20">
        <f>ROUND(INDEX('Stats base'!D$5:D$8,MATCH($C184,'Stats base'!$A$5:$A$8,0))*INDEX('Stats base'!D$12:D$14,MATCH($E184,'Stats base'!$A$12:$A$14,0))*INDEX('Stats base'!D$18:D$22,MATCH($J184,'Stats base'!$A$18:$A$22,0))*IFERROR(INDEX(Variación!E$3:E$228,MATCH($G184,Variación!$A$3:$A$228,0)),1),1)</f>
        <v>10.4</v>
      </c>
      <c r="N184" s="20">
        <f>ROUND(INDEX('Stats base'!E$5:E$8,MATCH($C184,'Stats base'!$A$5:$A$8,0))*INDEX('Stats base'!E$12:E$14,MATCH($E184,'Stats base'!$A$12:$A$14,0))*INDEX('Stats base'!E$18:E$22,MATCH($J184,'Stats base'!$A$18:$A$22,0))*IFERROR(INDEX(Variación!F$3:F$228,MATCH($G184,Variación!$A$3:$A$228,0)),1),1)</f>
        <v>7.5</v>
      </c>
      <c r="O184" s="19">
        <f>ROUND(INDEX('Stats base'!F$5:F$8,MATCH($C184,'Stats base'!$A$5:$A$8,0))*INDEX('Stats base'!F$12:F$14,MATCH($E184,'Stats base'!$A$12:$A$14,0))*INDEX('Stats base'!F$18:F$22,MATCH($J184,'Stats base'!$A$18:$A$22,0))*IFERROR(INDEX(Variación!G$3:G$228,MATCH($G184,Variación!$A$3:$A$228,0)),1),0)</f>
        <v>101</v>
      </c>
      <c r="P184" s="21">
        <f>MIN('Stats base'!$G$30,ROUND(INDEX('Stats base'!G$5:G$8,MATCH($C184,'Stats base'!$A$5:$A$8,0))*INDEX('Stats base'!G$12:G$14,MATCH($E184,'Stats base'!$A$12:$A$14,0))*INDEX('Stats base'!G$18:G$22,MATCH($J184,'Stats base'!$A$18:$A$22,0))*IFERROR(INDEX(Variación!H$3:H$228,MATCH($G184,Variación!$A$3:$A$228,0)),1),3))</f>
        <v>1.2999999999999999E-2</v>
      </c>
    </row>
    <row r="185" spans="1:16" ht="34.5" customHeight="1" x14ac:dyDescent="0.25">
      <c r="A185" s="15" t="s">
        <v>604</v>
      </c>
      <c r="B185" s="15" t="s">
        <v>605</v>
      </c>
      <c r="C185" s="16" t="s">
        <v>37</v>
      </c>
      <c r="D185" s="17" t="s">
        <v>29</v>
      </c>
      <c r="E185" s="16" t="s">
        <v>53</v>
      </c>
      <c r="F185" s="16" t="s">
        <v>48</v>
      </c>
      <c r="G185" s="18" t="s">
        <v>606</v>
      </c>
      <c r="H185" s="18"/>
      <c r="I185" s="18" t="s">
        <v>597</v>
      </c>
      <c r="J185" s="18" t="s">
        <v>85</v>
      </c>
      <c r="K185" s="19">
        <f>ROUND(INDEX('Stats base'!B$5:B$8,MATCH($C185,'Stats base'!$A$5:$A$8,0))*INDEX('Stats base'!B$12:B$14,MATCH($E185,'Stats base'!$A$12:$A$14,0))*INDEX('Stats base'!B$18:B$22,MATCH($J185,'Stats base'!$A$18:$A$22,0))*IFERROR(INDEX(Variación!C$3:C$228,MATCH($G185,Variación!$A$3:$A$228,0)),1),0)</f>
        <v>120</v>
      </c>
      <c r="L185" s="20">
        <f>ROUND(INDEX('Stats base'!C$5:C$8,MATCH($C185,'Stats base'!$A$5:$A$8,0))*INDEX('Stats base'!C$12:C$14,MATCH($E185,'Stats base'!$A$12:$A$14,0))*INDEX('Stats base'!C$18:C$22,MATCH($J185,'Stats base'!$A$18:$A$22,0))*IFERROR(INDEX(Variación!D$3:D$228,MATCH($G185,Variación!$A$3:$A$228,0)),1),1)</f>
        <v>6.3</v>
      </c>
      <c r="M185" s="20">
        <f>ROUND(INDEX('Stats base'!D$5:D$8,MATCH($C185,'Stats base'!$A$5:$A$8,0))*INDEX('Stats base'!D$12:D$14,MATCH($E185,'Stats base'!$A$12:$A$14,0))*INDEX('Stats base'!D$18:D$22,MATCH($J185,'Stats base'!$A$18:$A$22,0))*IFERROR(INDEX(Variación!E$3:E$228,MATCH($G185,Variación!$A$3:$A$228,0)),1),1)</f>
        <v>11.2</v>
      </c>
      <c r="N185" s="20">
        <f>ROUND(INDEX('Stats base'!E$5:E$8,MATCH($C185,'Stats base'!$A$5:$A$8,0))*INDEX('Stats base'!E$12:E$14,MATCH($E185,'Stats base'!$A$12:$A$14,0))*INDEX('Stats base'!E$18:E$22,MATCH($J185,'Stats base'!$A$18:$A$22,0))*IFERROR(INDEX(Variación!F$3:F$228,MATCH($G185,Variación!$A$3:$A$228,0)),1),1)</f>
        <v>7.5</v>
      </c>
      <c r="O185" s="19">
        <f>ROUND(INDEX('Stats base'!F$5:F$8,MATCH($C185,'Stats base'!$A$5:$A$8,0))*INDEX('Stats base'!F$12:F$14,MATCH($E185,'Stats base'!$A$12:$A$14,0))*INDEX('Stats base'!F$18:F$22,MATCH($J185,'Stats base'!$A$18:$A$22,0))*IFERROR(INDEX(Variación!G$3:G$228,MATCH($G185,Variación!$A$3:$A$228,0)),1),0)</f>
        <v>105</v>
      </c>
      <c r="P185" s="21">
        <f>MIN('Stats base'!$G$30,ROUND(INDEX('Stats base'!G$5:G$8,MATCH($C185,'Stats base'!$A$5:$A$8,0))*INDEX('Stats base'!G$12:G$14,MATCH($E185,'Stats base'!$A$12:$A$14,0))*INDEX('Stats base'!G$18:G$22,MATCH($J185,'Stats base'!$A$18:$A$22,0))*IFERROR(INDEX(Variación!H$3:H$228,MATCH($G185,Variación!$A$3:$A$228,0)),1),3))</f>
        <v>1.4E-2</v>
      </c>
    </row>
    <row r="186" spans="1:16" ht="34.5" hidden="1" customHeight="1" x14ac:dyDescent="0.25">
      <c r="A186" s="15" t="s">
        <v>607</v>
      </c>
      <c r="B186" s="15" t="s">
        <v>608</v>
      </c>
      <c r="C186" s="16" t="s">
        <v>37</v>
      </c>
      <c r="D186" s="17" t="s">
        <v>29</v>
      </c>
      <c r="E186" s="16" t="s">
        <v>42</v>
      </c>
      <c r="F186" s="16" t="s">
        <v>43</v>
      </c>
      <c r="G186" s="18" t="s">
        <v>609</v>
      </c>
      <c r="H186" s="18"/>
      <c r="I186" s="18" t="s">
        <v>597</v>
      </c>
      <c r="J186" s="18" t="s">
        <v>70</v>
      </c>
      <c r="K186" s="19">
        <f>ROUND(INDEX('Stats base'!B$5:B$8,MATCH($C186,'Stats base'!$A$5:$A$8,0))*INDEX('Stats base'!B$12:B$14,MATCH($E186,'Stats base'!$A$12:$A$14,0))*INDEX('Stats base'!B$18:B$22,MATCH($J186,'Stats base'!$A$18:$A$22,0))*IFERROR(INDEX(Variación!C$3:C$228,MATCH($G186,Variación!$A$3:$A$228,0)),1),0)</f>
        <v>153</v>
      </c>
      <c r="L186" s="20">
        <f>ROUND(INDEX('Stats base'!C$5:C$8,MATCH($C186,'Stats base'!$A$5:$A$8,0))*INDEX('Stats base'!C$12:C$14,MATCH($E186,'Stats base'!$A$12:$A$14,0))*INDEX('Stats base'!C$18:C$22,MATCH($J186,'Stats base'!$A$18:$A$22,0))*IFERROR(INDEX(Variación!D$3:D$228,MATCH($G186,Variación!$A$3:$A$228,0)),1),1)</f>
        <v>7.9</v>
      </c>
      <c r="M186" s="20">
        <f>ROUND(INDEX('Stats base'!D$5:D$8,MATCH($C186,'Stats base'!$A$5:$A$8,0))*INDEX('Stats base'!D$12:D$14,MATCH($E186,'Stats base'!$A$12:$A$14,0))*INDEX('Stats base'!D$18:D$22,MATCH($J186,'Stats base'!$A$18:$A$22,0))*IFERROR(INDEX(Variación!E$3:E$228,MATCH($G186,Variación!$A$3:$A$228,0)),1),1)</f>
        <v>14.5</v>
      </c>
      <c r="N186" s="20">
        <f>ROUND(INDEX('Stats base'!E$5:E$8,MATCH($C186,'Stats base'!$A$5:$A$8,0))*INDEX('Stats base'!E$12:E$14,MATCH($E186,'Stats base'!$A$12:$A$14,0))*INDEX('Stats base'!E$18:E$22,MATCH($J186,'Stats base'!$A$18:$A$22,0))*IFERROR(INDEX(Variación!F$3:F$228,MATCH($G186,Variación!$A$3:$A$228,0)),1),1)</f>
        <v>10.1</v>
      </c>
      <c r="O186" s="19">
        <f>ROUND(INDEX('Stats base'!F$5:F$8,MATCH($C186,'Stats base'!$A$5:$A$8,0))*INDEX('Stats base'!F$12:F$14,MATCH($E186,'Stats base'!$A$12:$A$14,0))*INDEX('Stats base'!F$18:F$22,MATCH($J186,'Stats base'!$A$18:$A$22,0))*IFERROR(INDEX(Variación!G$3:G$228,MATCH($G186,Variación!$A$3:$A$228,0)),1),0)</f>
        <v>97</v>
      </c>
      <c r="P186" s="21">
        <f>MIN('Stats base'!$G$30,ROUND(INDEX('Stats base'!G$5:G$8,MATCH($C186,'Stats base'!$A$5:$A$8,0))*INDEX('Stats base'!G$12:G$14,MATCH($E186,'Stats base'!$A$12:$A$14,0))*INDEX('Stats base'!G$18:G$22,MATCH($J186,'Stats base'!$A$18:$A$22,0))*IFERROR(INDEX(Variación!H$3:H$228,MATCH($G186,Variación!$A$3:$A$228,0)),1),3))</f>
        <v>1.7000000000000001E-2</v>
      </c>
    </row>
    <row r="187" spans="1:16" ht="34.5" customHeight="1" x14ac:dyDescent="0.25">
      <c r="A187" s="15" t="s">
        <v>610</v>
      </c>
      <c r="B187" s="15" t="s">
        <v>611</v>
      </c>
      <c r="C187" s="16" t="s">
        <v>58</v>
      </c>
      <c r="D187" s="17" t="s">
        <v>29</v>
      </c>
      <c r="E187" s="16" t="s">
        <v>53</v>
      </c>
      <c r="F187" s="16" t="s">
        <v>48</v>
      </c>
      <c r="G187" s="18" t="s">
        <v>612</v>
      </c>
      <c r="H187" s="18"/>
      <c r="I187" s="18" t="s">
        <v>597</v>
      </c>
      <c r="J187" s="18" t="s">
        <v>85</v>
      </c>
      <c r="K187" s="19">
        <f>ROUND(INDEX('Stats base'!B$5:B$8,MATCH($C187,'Stats base'!$A$5:$A$8,0))*INDEX('Stats base'!B$12:B$14,MATCH($E187,'Stats base'!$A$12:$A$14,0))*INDEX('Stats base'!B$18:B$22,MATCH($J187,'Stats base'!$A$18:$A$22,0))*IFERROR(INDEX(Variación!C$3:C$228,MATCH($G187,Variación!$A$3:$A$228,0)),1),0)</f>
        <v>85</v>
      </c>
      <c r="L187" s="20">
        <f>ROUND(INDEX('Stats base'!C$5:C$8,MATCH($C187,'Stats base'!$A$5:$A$8,0))*INDEX('Stats base'!C$12:C$14,MATCH($E187,'Stats base'!$A$12:$A$14,0))*INDEX('Stats base'!C$18:C$22,MATCH($J187,'Stats base'!$A$18:$A$22,0))*IFERROR(INDEX(Variación!D$3:D$228,MATCH($G187,Variación!$A$3:$A$228,0)),1),1)</f>
        <v>8.3000000000000007</v>
      </c>
      <c r="M187" s="20">
        <f>ROUND(INDEX('Stats base'!D$5:D$8,MATCH($C187,'Stats base'!$A$5:$A$8,0))*INDEX('Stats base'!D$12:D$14,MATCH($E187,'Stats base'!$A$12:$A$14,0))*INDEX('Stats base'!D$18:D$22,MATCH($J187,'Stats base'!$A$18:$A$22,0))*IFERROR(INDEX(Variación!E$3:E$228,MATCH($G187,Variación!$A$3:$A$228,0)),1),1)</f>
        <v>14.3</v>
      </c>
      <c r="N187" s="20">
        <f>ROUND(INDEX('Stats base'!E$5:E$8,MATCH($C187,'Stats base'!$A$5:$A$8,0))*INDEX('Stats base'!E$12:E$14,MATCH($E187,'Stats base'!$A$12:$A$14,0))*INDEX('Stats base'!E$18:E$22,MATCH($J187,'Stats base'!$A$18:$A$22,0))*IFERROR(INDEX(Variación!F$3:F$228,MATCH($G187,Variación!$A$3:$A$228,0)),1),1)</f>
        <v>4.0999999999999996</v>
      </c>
      <c r="O187" s="19">
        <f>ROUND(INDEX('Stats base'!F$5:F$8,MATCH($C187,'Stats base'!$A$5:$A$8,0))*INDEX('Stats base'!F$12:F$14,MATCH($E187,'Stats base'!$A$12:$A$14,0))*INDEX('Stats base'!F$18:F$22,MATCH($J187,'Stats base'!$A$18:$A$22,0))*IFERROR(INDEX(Variación!G$3:G$228,MATCH($G187,Variación!$A$3:$A$228,0)),1),0)</f>
        <v>120</v>
      </c>
      <c r="P187" s="21">
        <f>MIN('Stats base'!$G$30,ROUND(INDEX('Stats base'!G$5:G$8,MATCH($C187,'Stats base'!$A$5:$A$8,0))*INDEX('Stats base'!G$12:G$14,MATCH($E187,'Stats base'!$A$12:$A$14,0))*INDEX('Stats base'!G$18:G$22,MATCH($J187,'Stats base'!$A$18:$A$22,0))*IFERROR(INDEX(Variación!H$3:H$228,MATCH($G187,Variación!$A$3:$A$228,0)),1),3))</f>
        <v>0.04</v>
      </c>
    </row>
    <row r="188" spans="1:16" ht="34.5" customHeight="1" x14ac:dyDescent="0.25">
      <c r="A188" s="15" t="s">
        <v>613</v>
      </c>
      <c r="B188" s="15" t="s">
        <v>614</v>
      </c>
      <c r="C188" s="16" t="s">
        <v>58</v>
      </c>
      <c r="D188" s="17" t="s">
        <v>29</v>
      </c>
      <c r="E188" s="16" t="s">
        <v>53</v>
      </c>
      <c r="F188" s="16" t="s">
        <v>38</v>
      </c>
      <c r="G188" s="18" t="s">
        <v>615</v>
      </c>
      <c r="H188" s="18"/>
      <c r="I188" s="18" t="s">
        <v>597</v>
      </c>
      <c r="J188" s="18" t="s">
        <v>85</v>
      </c>
      <c r="K188" s="19">
        <f>ROUND(INDEX('Stats base'!B$5:B$8,MATCH($C188,'Stats base'!$A$5:$A$8,0))*INDEX('Stats base'!B$12:B$14,MATCH($E188,'Stats base'!$A$12:$A$14,0))*INDEX('Stats base'!B$18:B$22,MATCH($J188,'Stats base'!$A$18:$A$22,0))*IFERROR(INDEX(Variación!C$3:C$228,MATCH($G188,Variación!$A$3:$A$228,0)),1),0)</f>
        <v>73</v>
      </c>
      <c r="L188" s="20">
        <f>ROUND(INDEX('Stats base'!C$5:C$8,MATCH($C188,'Stats base'!$A$5:$A$8,0))*INDEX('Stats base'!C$12:C$14,MATCH($E188,'Stats base'!$A$12:$A$14,0))*INDEX('Stats base'!C$18:C$22,MATCH($J188,'Stats base'!$A$18:$A$22,0))*IFERROR(INDEX(Variación!D$3:D$228,MATCH($G188,Variación!$A$3:$A$228,0)),1),1)</f>
        <v>8.5</v>
      </c>
      <c r="M188" s="20">
        <f>ROUND(INDEX('Stats base'!D$5:D$8,MATCH($C188,'Stats base'!$A$5:$A$8,0))*INDEX('Stats base'!D$12:D$14,MATCH($E188,'Stats base'!$A$12:$A$14,0))*INDEX('Stats base'!D$18:D$22,MATCH($J188,'Stats base'!$A$18:$A$22,0))*IFERROR(INDEX(Variación!E$3:E$228,MATCH($G188,Variación!$A$3:$A$228,0)),1),1)</f>
        <v>15.5</v>
      </c>
      <c r="N188" s="20">
        <f>ROUND(INDEX('Stats base'!E$5:E$8,MATCH($C188,'Stats base'!$A$5:$A$8,0))*INDEX('Stats base'!E$12:E$14,MATCH($E188,'Stats base'!$A$12:$A$14,0))*INDEX('Stats base'!E$18:E$22,MATCH($J188,'Stats base'!$A$18:$A$22,0))*IFERROR(INDEX(Variación!F$3:F$228,MATCH($G188,Variación!$A$3:$A$228,0)),1),1)</f>
        <v>3.3</v>
      </c>
      <c r="O188" s="19">
        <f>ROUND(INDEX('Stats base'!F$5:F$8,MATCH($C188,'Stats base'!$A$5:$A$8,0))*INDEX('Stats base'!F$12:F$14,MATCH($E188,'Stats base'!$A$12:$A$14,0))*INDEX('Stats base'!F$18:F$22,MATCH($J188,'Stats base'!$A$18:$A$22,0))*IFERROR(INDEX(Variación!G$3:G$228,MATCH($G188,Variación!$A$3:$A$228,0)),1),0)</f>
        <v>127</v>
      </c>
      <c r="P188" s="21">
        <f>MIN('Stats base'!$G$30,ROUND(INDEX('Stats base'!G$5:G$8,MATCH($C188,'Stats base'!$A$5:$A$8,0))*INDEX('Stats base'!G$12:G$14,MATCH($E188,'Stats base'!$A$12:$A$14,0))*INDEX('Stats base'!G$18:G$22,MATCH($J188,'Stats base'!$A$18:$A$22,0))*IFERROR(INDEX(Variación!H$3:H$228,MATCH($G188,Variación!$A$3:$A$228,0)),1),3))</f>
        <v>4.2000000000000003E-2</v>
      </c>
    </row>
    <row r="189" spans="1:16" ht="34.5" customHeight="1" x14ac:dyDescent="0.25">
      <c r="A189" s="15" t="s">
        <v>616</v>
      </c>
      <c r="B189" s="15" t="s">
        <v>617</v>
      </c>
      <c r="C189" s="16" t="s">
        <v>58</v>
      </c>
      <c r="D189" s="17" t="s">
        <v>29</v>
      </c>
      <c r="E189" s="16" t="s">
        <v>53</v>
      </c>
      <c r="F189" s="16" t="s">
        <v>38</v>
      </c>
      <c r="G189" s="18" t="s">
        <v>618</v>
      </c>
      <c r="H189" s="18"/>
      <c r="I189" s="18" t="s">
        <v>597</v>
      </c>
      <c r="J189" s="18" t="s">
        <v>85</v>
      </c>
      <c r="K189" s="19">
        <f>ROUND(INDEX('Stats base'!B$5:B$8,MATCH($C189,'Stats base'!$A$5:$A$8,0))*INDEX('Stats base'!B$12:B$14,MATCH($E189,'Stats base'!$A$12:$A$14,0))*INDEX('Stats base'!B$18:B$22,MATCH($J189,'Stats base'!$A$18:$A$22,0))*IFERROR(INDEX(Variación!C$3:C$228,MATCH($G189,Variación!$A$3:$A$228,0)),1),0)</f>
        <v>85</v>
      </c>
      <c r="L189" s="20">
        <f>ROUND(INDEX('Stats base'!C$5:C$8,MATCH($C189,'Stats base'!$A$5:$A$8,0))*INDEX('Stats base'!C$12:C$14,MATCH($E189,'Stats base'!$A$12:$A$14,0))*INDEX('Stats base'!C$18:C$22,MATCH($J189,'Stats base'!$A$18:$A$22,0))*IFERROR(INDEX(Variación!D$3:D$228,MATCH($G189,Variación!$A$3:$A$228,0)),1),1)</f>
        <v>7.8</v>
      </c>
      <c r="M189" s="20">
        <f>ROUND(INDEX('Stats base'!D$5:D$8,MATCH($C189,'Stats base'!$A$5:$A$8,0))*INDEX('Stats base'!D$12:D$14,MATCH($E189,'Stats base'!$A$12:$A$14,0))*INDEX('Stats base'!D$18:D$22,MATCH($J189,'Stats base'!$A$18:$A$22,0))*IFERROR(INDEX(Variación!E$3:E$228,MATCH($G189,Variación!$A$3:$A$228,0)),1),1)</f>
        <v>14.3</v>
      </c>
      <c r="N189" s="20">
        <f>ROUND(INDEX('Stats base'!E$5:E$8,MATCH($C189,'Stats base'!$A$5:$A$8,0))*INDEX('Stats base'!E$12:E$14,MATCH($E189,'Stats base'!$A$12:$A$14,0))*INDEX('Stats base'!E$18:E$22,MATCH($J189,'Stats base'!$A$18:$A$22,0))*IFERROR(INDEX(Variación!F$3:F$228,MATCH($G189,Variación!$A$3:$A$228,0)),1),1)</f>
        <v>3.7</v>
      </c>
      <c r="O189" s="19">
        <f>ROUND(INDEX('Stats base'!F$5:F$8,MATCH($C189,'Stats base'!$A$5:$A$8,0))*INDEX('Stats base'!F$12:F$14,MATCH($E189,'Stats base'!$A$12:$A$14,0))*INDEX('Stats base'!F$18:F$22,MATCH($J189,'Stats base'!$A$18:$A$22,0))*IFERROR(INDEX(Variación!G$3:G$228,MATCH($G189,Variación!$A$3:$A$228,0)),1),0)</f>
        <v>119</v>
      </c>
      <c r="P189" s="21">
        <f>MIN('Stats base'!$G$30,ROUND(INDEX('Stats base'!G$5:G$8,MATCH($C189,'Stats base'!$A$5:$A$8,0))*INDEX('Stats base'!G$12:G$14,MATCH($E189,'Stats base'!$A$12:$A$14,0))*INDEX('Stats base'!G$18:G$22,MATCH($J189,'Stats base'!$A$18:$A$22,0))*IFERROR(INDEX(Variación!H$3:H$228,MATCH($G189,Variación!$A$3:$A$228,0)),1),3))</f>
        <v>0.04</v>
      </c>
    </row>
    <row r="190" spans="1:16" ht="34.5" hidden="1" customHeight="1" x14ac:dyDescent="0.25">
      <c r="A190" s="15" t="s">
        <v>619</v>
      </c>
      <c r="B190" s="15" t="s">
        <v>620</v>
      </c>
      <c r="C190" s="16" t="s">
        <v>68</v>
      </c>
      <c r="D190" s="17" t="s">
        <v>29</v>
      </c>
      <c r="E190" s="16" t="s">
        <v>53</v>
      </c>
      <c r="F190" s="16" t="s">
        <v>75</v>
      </c>
      <c r="G190" s="18" t="s">
        <v>621</v>
      </c>
      <c r="H190" s="18"/>
      <c r="I190" s="18" t="s">
        <v>597</v>
      </c>
      <c r="J190" s="18" t="s">
        <v>70</v>
      </c>
      <c r="K190" s="19">
        <f>ROUND(INDEX('Stats base'!B$5:B$8,MATCH($C190,'Stats base'!$A$5:$A$8,0))*INDEX('Stats base'!B$12:B$14,MATCH($E190,'Stats base'!$A$12:$A$14,0))*INDEX('Stats base'!B$18:B$22,MATCH($J190,'Stats base'!$A$18:$A$22,0))*IFERROR(INDEX(Variación!C$3:C$228,MATCH($G190,Variación!$A$3:$A$228,0)),1),0)</f>
        <v>107</v>
      </c>
      <c r="L190" s="20">
        <f>ROUND(INDEX('Stats base'!C$5:C$8,MATCH($C190,'Stats base'!$A$5:$A$8,0))*INDEX('Stats base'!C$12:C$14,MATCH($E190,'Stats base'!$A$12:$A$14,0))*INDEX('Stats base'!C$18:C$22,MATCH($J190,'Stats base'!$A$18:$A$22,0))*IFERROR(INDEX(Variación!D$3:D$228,MATCH($G190,Variación!$A$3:$A$228,0)),1),1)</f>
        <v>15.1</v>
      </c>
      <c r="M190" s="20">
        <f>ROUND(INDEX('Stats base'!D$5:D$8,MATCH($C190,'Stats base'!$A$5:$A$8,0))*INDEX('Stats base'!D$12:D$14,MATCH($E190,'Stats base'!$A$12:$A$14,0))*INDEX('Stats base'!D$18:D$22,MATCH($J190,'Stats base'!$A$18:$A$22,0))*IFERROR(INDEX(Variación!E$3:E$228,MATCH($G190,Variación!$A$3:$A$228,0)),1),1)</f>
        <v>23.5</v>
      </c>
      <c r="N190" s="20">
        <f>ROUND(INDEX('Stats base'!E$5:E$8,MATCH($C190,'Stats base'!$A$5:$A$8,0))*INDEX('Stats base'!E$12:E$14,MATCH($E190,'Stats base'!$A$12:$A$14,0))*INDEX('Stats base'!E$18:E$22,MATCH($J190,'Stats base'!$A$18:$A$22,0))*IFERROR(INDEX(Variación!F$3:F$228,MATCH($G190,Variación!$A$3:$A$228,0)),1),1)</f>
        <v>4</v>
      </c>
      <c r="O190" s="19">
        <f>ROUND(INDEX('Stats base'!F$5:F$8,MATCH($C190,'Stats base'!$A$5:$A$8,0))*INDEX('Stats base'!F$12:F$14,MATCH($E190,'Stats base'!$A$12:$A$14,0))*INDEX('Stats base'!F$18:F$22,MATCH($J190,'Stats base'!$A$18:$A$22,0))*IFERROR(INDEX(Variación!G$3:G$228,MATCH($G190,Variación!$A$3:$A$228,0)),1),0)</f>
        <v>113</v>
      </c>
      <c r="P190" s="21">
        <f>MIN('Stats base'!$G$30,ROUND(INDEX('Stats base'!G$5:G$8,MATCH($C190,'Stats base'!$A$5:$A$8,0))*INDEX('Stats base'!G$12:G$14,MATCH($E190,'Stats base'!$A$12:$A$14,0))*INDEX('Stats base'!G$18:G$22,MATCH($J190,'Stats base'!$A$18:$A$22,0))*IFERROR(INDEX(Variación!H$3:H$228,MATCH($G190,Variación!$A$3:$A$228,0)),1),3))</f>
        <v>3.3000000000000002E-2</v>
      </c>
    </row>
    <row r="191" spans="1:16" ht="34.5" customHeight="1" x14ac:dyDescent="0.25">
      <c r="A191" s="15" t="s">
        <v>622</v>
      </c>
      <c r="B191" s="15" t="s">
        <v>623</v>
      </c>
      <c r="C191" s="16" t="s">
        <v>58</v>
      </c>
      <c r="D191" s="17" t="s">
        <v>29</v>
      </c>
      <c r="E191" s="16" t="s">
        <v>53</v>
      </c>
      <c r="F191" s="16" t="s">
        <v>43</v>
      </c>
      <c r="G191" s="18" t="s">
        <v>624</v>
      </c>
      <c r="H191" s="18"/>
      <c r="I191" s="18" t="s">
        <v>597</v>
      </c>
      <c r="J191" s="18" t="s">
        <v>85</v>
      </c>
      <c r="K191" s="19">
        <f>ROUND(INDEX('Stats base'!B$5:B$8,MATCH($C191,'Stats base'!$A$5:$A$8,0))*INDEX('Stats base'!B$12:B$14,MATCH($E191,'Stats base'!$A$12:$A$14,0))*INDEX('Stats base'!B$18:B$22,MATCH($J191,'Stats base'!$A$18:$A$22,0))*IFERROR(INDEX(Variación!C$3:C$228,MATCH($G191,Variación!$A$3:$A$228,0)),1),0)</f>
        <v>74</v>
      </c>
      <c r="L191" s="20">
        <f>ROUND(INDEX('Stats base'!C$5:C$8,MATCH($C191,'Stats base'!$A$5:$A$8,0))*INDEX('Stats base'!C$12:C$14,MATCH($E191,'Stats base'!$A$12:$A$14,0))*INDEX('Stats base'!C$18:C$22,MATCH($J191,'Stats base'!$A$18:$A$22,0))*IFERROR(INDEX(Variación!D$3:D$228,MATCH($G191,Variación!$A$3:$A$228,0)),1),1)</f>
        <v>7.9</v>
      </c>
      <c r="M191" s="20">
        <f>ROUND(INDEX('Stats base'!D$5:D$8,MATCH($C191,'Stats base'!$A$5:$A$8,0))*INDEX('Stats base'!D$12:D$14,MATCH($E191,'Stats base'!$A$12:$A$14,0))*INDEX('Stats base'!D$18:D$22,MATCH($J191,'Stats base'!$A$18:$A$22,0))*IFERROR(INDEX(Variación!E$3:E$228,MATCH($G191,Variación!$A$3:$A$228,0)),1),1)</f>
        <v>13.8</v>
      </c>
      <c r="N191" s="20">
        <f>ROUND(INDEX('Stats base'!E$5:E$8,MATCH($C191,'Stats base'!$A$5:$A$8,0))*INDEX('Stats base'!E$12:E$14,MATCH($E191,'Stats base'!$A$12:$A$14,0))*INDEX('Stats base'!E$18:E$22,MATCH($J191,'Stats base'!$A$18:$A$22,0))*IFERROR(INDEX(Variación!F$3:F$228,MATCH($G191,Variación!$A$3:$A$228,0)),1),1)</f>
        <v>3.5</v>
      </c>
      <c r="O191" s="19">
        <f>ROUND(INDEX('Stats base'!F$5:F$8,MATCH($C191,'Stats base'!$A$5:$A$8,0))*INDEX('Stats base'!F$12:F$14,MATCH($E191,'Stats base'!$A$12:$A$14,0))*INDEX('Stats base'!F$18:F$22,MATCH($J191,'Stats base'!$A$18:$A$22,0))*IFERROR(INDEX(Variación!G$3:G$228,MATCH($G191,Variación!$A$3:$A$228,0)),1),0)</f>
        <v>128</v>
      </c>
      <c r="P191" s="21">
        <f>MIN('Stats base'!$G$30,ROUND(INDEX('Stats base'!G$5:G$8,MATCH($C191,'Stats base'!$A$5:$A$8,0))*INDEX('Stats base'!G$12:G$14,MATCH($E191,'Stats base'!$A$12:$A$14,0))*INDEX('Stats base'!G$18:G$22,MATCH($J191,'Stats base'!$A$18:$A$22,0))*IFERROR(INDEX(Variación!H$3:H$228,MATCH($G191,Variación!$A$3:$A$228,0)),1),3))</f>
        <v>4.3999999999999997E-2</v>
      </c>
    </row>
    <row r="192" spans="1:16" ht="15.75" customHeight="1" x14ac:dyDescent="0.25">
      <c r="A192" s="15" t="s">
        <v>625</v>
      </c>
      <c r="B192" s="15" t="s">
        <v>626</v>
      </c>
      <c r="C192" s="16" t="s">
        <v>68</v>
      </c>
      <c r="D192" s="22" t="s">
        <v>82</v>
      </c>
      <c r="E192" s="16" t="s">
        <v>53</v>
      </c>
      <c r="F192" s="16" t="s">
        <v>48</v>
      </c>
      <c r="G192" s="18" t="s">
        <v>627</v>
      </c>
      <c r="H192" s="18"/>
      <c r="I192" s="18" t="s">
        <v>597</v>
      </c>
      <c r="J192" s="18" t="s">
        <v>85</v>
      </c>
      <c r="K192" s="19">
        <f>ROUND(INDEX('Stats base'!B$5:B$8,MATCH($C192,'Stats base'!$A$5:$A$8,0))*INDEX('Stats base'!B$12:B$14,MATCH($E192,'Stats base'!$A$12:$A$14,0))*INDEX('Stats base'!B$18:B$22,MATCH($J192,'Stats base'!$A$18:$A$22,0))*IFERROR(INDEX(Variación!C$3:C$228,MATCH($G192,Variación!$A$3:$A$228,0)),1),0)</f>
        <v>82</v>
      </c>
      <c r="L192" s="20">
        <f>ROUND(INDEX('Stats base'!C$5:C$8,MATCH($C192,'Stats base'!$A$5:$A$8,0))*INDEX('Stats base'!C$12:C$14,MATCH($E192,'Stats base'!$A$12:$A$14,0))*INDEX('Stats base'!C$18:C$22,MATCH($J192,'Stats base'!$A$18:$A$22,0))*IFERROR(INDEX(Variación!D$3:D$228,MATCH($G192,Variación!$A$3:$A$228,0)),1),1)</f>
        <v>12.2</v>
      </c>
      <c r="M192" s="20">
        <f>ROUND(INDEX('Stats base'!D$5:D$8,MATCH($C192,'Stats base'!$A$5:$A$8,0))*INDEX('Stats base'!D$12:D$14,MATCH($E192,'Stats base'!$A$12:$A$14,0))*INDEX('Stats base'!D$18:D$22,MATCH($J192,'Stats base'!$A$18:$A$22,0))*IFERROR(INDEX(Variación!E$3:E$228,MATCH($G192,Variación!$A$3:$A$228,0)),1),1)</f>
        <v>18.8</v>
      </c>
      <c r="N192" s="20">
        <f>ROUND(INDEX('Stats base'!E$5:E$8,MATCH($C192,'Stats base'!$A$5:$A$8,0))*INDEX('Stats base'!E$12:E$14,MATCH($E192,'Stats base'!$A$12:$A$14,0))*INDEX('Stats base'!E$18:E$22,MATCH($J192,'Stats base'!$A$18:$A$22,0))*IFERROR(INDEX(Variación!F$3:F$228,MATCH($G192,Variación!$A$3:$A$228,0)),1),1)</f>
        <v>3</v>
      </c>
      <c r="O192" s="19">
        <f>ROUND(INDEX('Stats base'!F$5:F$8,MATCH($C192,'Stats base'!$A$5:$A$8,0))*INDEX('Stats base'!F$12:F$14,MATCH($E192,'Stats base'!$A$12:$A$14,0))*INDEX('Stats base'!F$18:F$22,MATCH($J192,'Stats base'!$A$18:$A$22,0))*IFERROR(INDEX(Variación!G$3:G$228,MATCH($G192,Variación!$A$3:$A$228,0)),1),0)</f>
        <v>113</v>
      </c>
      <c r="P192" s="21">
        <f>MIN('Stats base'!$G$30,ROUND(INDEX('Stats base'!G$5:G$8,MATCH($C192,'Stats base'!$A$5:$A$8,0))*INDEX('Stats base'!G$12:G$14,MATCH($E192,'Stats base'!$A$12:$A$14,0))*INDEX('Stats base'!G$18:G$22,MATCH($J192,'Stats base'!$A$18:$A$22,0))*IFERROR(INDEX(Variación!H$3:H$228,MATCH($G192,Variación!$A$3:$A$228,0)),1),3))</f>
        <v>2.3E-2</v>
      </c>
    </row>
    <row r="193" spans="1:16" ht="34.5" customHeight="1" x14ac:dyDescent="0.25">
      <c r="A193" s="15" t="s">
        <v>628</v>
      </c>
      <c r="B193" s="15" t="s">
        <v>629</v>
      </c>
      <c r="C193" s="16" t="s">
        <v>58</v>
      </c>
      <c r="D193" s="17" t="s">
        <v>29</v>
      </c>
      <c r="E193" s="16" t="s">
        <v>53</v>
      </c>
      <c r="F193" s="16" t="s">
        <v>43</v>
      </c>
      <c r="G193" s="18" t="s">
        <v>630</v>
      </c>
      <c r="H193" s="18"/>
      <c r="I193" s="18" t="s">
        <v>597</v>
      </c>
      <c r="J193" s="18" t="s">
        <v>85</v>
      </c>
      <c r="K193" s="19">
        <f>ROUND(INDEX('Stats base'!B$5:B$8,MATCH($C193,'Stats base'!$A$5:$A$8,0))*INDEX('Stats base'!B$12:B$14,MATCH($E193,'Stats base'!$A$12:$A$14,0))*INDEX('Stats base'!B$18:B$22,MATCH($J193,'Stats base'!$A$18:$A$22,0))*IFERROR(INDEX(Variación!C$3:C$228,MATCH($G193,Variación!$A$3:$A$228,0)),1),0)</f>
        <v>80</v>
      </c>
      <c r="L193" s="20">
        <f>ROUND(INDEX('Stats base'!C$5:C$8,MATCH($C193,'Stats base'!$A$5:$A$8,0))*INDEX('Stats base'!C$12:C$14,MATCH($E193,'Stats base'!$A$12:$A$14,0))*INDEX('Stats base'!C$18:C$22,MATCH($J193,'Stats base'!$A$18:$A$22,0))*IFERROR(INDEX(Variación!D$3:D$228,MATCH($G193,Variación!$A$3:$A$228,0)),1),1)</f>
        <v>9</v>
      </c>
      <c r="M193" s="20">
        <f>ROUND(INDEX('Stats base'!D$5:D$8,MATCH($C193,'Stats base'!$A$5:$A$8,0))*INDEX('Stats base'!D$12:D$14,MATCH($E193,'Stats base'!$A$12:$A$14,0))*INDEX('Stats base'!D$18:D$22,MATCH($J193,'Stats base'!$A$18:$A$22,0))*IFERROR(INDEX(Variación!E$3:E$228,MATCH($G193,Variación!$A$3:$A$228,0)),1),1)</f>
        <v>15.8</v>
      </c>
      <c r="N193" s="20">
        <f>ROUND(INDEX('Stats base'!E$5:E$8,MATCH($C193,'Stats base'!$A$5:$A$8,0))*INDEX('Stats base'!E$12:E$14,MATCH($E193,'Stats base'!$A$12:$A$14,0))*INDEX('Stats base'!E$18:E$22,MATCH($J193,'Stats base'!$A$18:$A$22,0))*IFERROR(INDEX(Variación!F$3:F$228,MATCH($G193,Variación!$A$3:$A$228,0)),1),1)</f>
        <v>4</v>
      </c>
      <c r="O193" s="19">
        <f>ROUND(INDEX('Stats base'!F$5:F$8,MATCH($C193,'Stats base'!$A$5:$A$8,0))*INDEX('Stats base'!F$12:F$14,MATCH($E193,'Stats base'!$A$12:$A$14,0))*INDEX('Stats base'!F$18:F$22,MATCH($J193,'Stats base'!$A$18:$A$22,0))*IFERROR(INDEX(Variación!G$3:G$228,MATCH($G193,Variación!$A$3:$A$228,0)),1),0)</f>
        <v>101</v>
      </c>
      <c r="P193" s="21">
        <f>MIN('Stats base'!$G$30,ROUND(INDEX('Stats base'!G$5:G$8,MATCH($C193,'Stats base'!$A$5:$A$8,0))*INDEX('Stats base'!G$12:G$14,MATCH($E193,'Stats base'!$A$12:$A$14,0))*INDEX('Stats base'!G$18:G$22,MATCH($J193,'Stats base'!$A$18:$A$22,0))*IFERROR(INDEX(Variación!H$3:H$228,MATCH($G193,Variación!$A$3:$A$228,0)),1),3))</f>
        <v>3.5000000000000003E-2</v>
      </c>
    </row>
    <row r="194" spans="1:16" ht="34.5" customHeight="1" x14ac:dyDescent="0.25">
      <c r="A194" s="15" t="s">
        <v>631</v>
      </c>
      <c r="B194" s="15" t="s">
        <v>632</v>
      </c>
      <c r="C194" s="16" t="s">
        <v>68</v>
      </c>
      <c r="D194" s="17" t="s">
        <v>29</v>
      </c>
      <c r="E194" s="16" t="s">
        <v>53</v>
      </c>
      <c r="F194" s="16" t="s">
        <v>38</v>
      </c>
      <c r="G194" s="18" t="s">
        <v>633</v>
      </c>
      <c r="H194" s="18"/>
      <c r="I194" s="18" t="s">
        <v>597</v>
      </c>
      <c r="J194" s="18" t="s">
        <v>85</v>
      </c>
      <c r="K194" s="19">
        <f>ROUND(INDEX('Stats base'!B$5:B$8,MATCH($C194,'Stats base'!$A$5:$A$8,0))*INDEX('Stats base'!B$12:B$14,MATCH($E194,'Stats base'!$A$12:$A$14,0))*INDEX('Stats base'!B$18:B$22,MATCH($J194,'Stats base'!$A$18:$A$22,0))*IFERROR(INDEX(Variación!C$3:C$228,MATCH($G194,Variación!$A$3:$A$228,0)),1),0)</f>
        <v>71</v>
      </c>
      <c r="L194" s="20">
        <f>ROUND(INDEX('Stats base'!C$5:C$8,MATCH($C194,'Stats base'!$A$5:$A$8,0))*INDEX('Stats base'!C$12:C$14,MATCH($E194,'Stats base'!$A$12:$A$14,0))*INDEX('Stats base'!C$18:C$22,MATCH($J194,'Stats base'!$A$18:$A$22,0))*IFERROR(INDEX(Variación!D$3:D$228,MATCH($G194,Variación!$A$3:$A$228,0)),1),1)</f>
        <v>11.3</v>
      </c>
      <c r="M194" s="20">
        <f>ROUND(INDEX('Stats base'!D$5:D$8,MATCH($C194,'Stats base'!$A$5:$A$8,0))*INDEX('Stats base'!D$12:D$14,MATCH($E194,'Stats base'!$A$12:$A$14,0))*INDEX('Stats base'!D$18:D$22,MATCH($J194,'Stats base'!$A$18:$A$22,0))*IFERROR(INDEX(Variación!E$3:E$228,MATCH($G194,Variación!$A$3:$A$228,0)),1),1)</f>
        <v>18.100000000000001</v>
      </c>
      <c r="N194" s="20">
        <f>ROUND(INDEX('Stats base'!E$5:E$8,MATCH($C194,'Stats base'!$A$5:$A$8,0))*INDEX('Stats base'!E$12:E$14,MATCH($E194,'Stats base'!$A$12:$A$14,0))*INDEX('Stats base'!E$18:E$22,MATCH($J194,'Stats base'!$A$18:$A$22,0))*IFERROR(INDEX(Variación!F$3:F$228,MATCH($G194,Variación!$A$3:$A$228,0)),1),1)</f>
        <v>2.8</v>
      </c>
      <c r="O194" s="19">
        <f>ROUND(INDEX('Stats base'!F$5:F$8,MATCH($C194,'Stats base'!$A$5:$A$8,0))*INDEX('Stats base'!F$12:F$14,MATCH($E194,'Stats base'!$A$12:$A$14,0))*INDEX('Stats base'!F$18:F$22,MATCH($J194,'Stats base'!$A$18:$A$22,0))*IFERROR(INDEX(Variación!G$3:G$228,MATCH($G194,Variación!$A$3:$A$228,0)),1),0)</f>
        <v>118</v>
      </c>
      <c r="P194" s="21">
        <f>MIN('Stats base'!$G$30,ROUND(INDEX('Stats base'!G$5:G$8,MATCH($C194,'Stats base'!$A$5:$A$8,0))*INDEX('Stats base'!G$12:G$14,MATCH($E194,'Stats base'!$A$12:$A$14,0))*INDEX('Stats base'!G$18:G$22,MATCH($J194,'Stats base'!$A$18:$A$22,0))*IFERROR(INDEX(Variación!H$3:H$228,MATCH($G194,Variación!$A$3:$A$228,0)),1),3))</f>
        <v>2.4E-2</v>
      </c>
    </row>
    <row r="195" spans="1:16" ht="34.5" customHeight="1" x14ac:dyDescent="0.25">
      <c r="A195" s="15" t="s">
        <v>634</v>
      </c>
      <c r="B195" s="15" t="s">
        <v>635</v>
      </c>
      <c r="C195" s="16" t="s">
        <v>68</v>
      </c>
      <c r="D195" s="17" t="s">
        <v>29</v>
      </c>
      <c r="E195" s="16" t="s">
        <v>42</v>
      </c>
      <c r="F195" s="16" t="s">
        <v>43</v>
      </c>
      <c r="G195" s="18" t="s">
        <v>636</v>
      </c>
      <c r="H195" s="18"/>
      <c r="I195" s="18" t="s">
        <v>597</v>
      </c>
      <c r="J195" s="18" t="s">
        <v>85</v>
      </c>
      <c r="K195" s="19">
        <f>ROUND(INDEX('Stats base'!B$5:B$8,MATCH($C195,'Stats base'!$A$5:$A$8,0))*INDEX('Stats base'!B$12:B$14,MATCH($E195,'Stats base'!$A$12:$A$14,0))*INDEX('Stats base'!B$18:B$22,MATCH($J195,'Stats base'!$A$18:$A$22,0))*IFERROR(INDEX(Variación!C$3:C$228,MATCH($G195,Variación!$A$3:$A$228,0)),1),0)</f>
        <v>99</v>
      </c>
      <c r="L195" s="20">
        <f>ROUND(INDEX('Stats base'!C$5:C$8,MATCH($C195,'Stats base'!$A$5:$A$8,0))*INDEX('Stats base'!C$12:C$14,MATCH($E195,'Stats base'!$A$12:$A$14,0))*INDEX('Stats base'!C$18:C$22,MATCH($J195,'Stats base'!$A$18:$A$22,0))*IFERROR(INDEX(Variación!D$3:D$228,MATCH($G195,Variación!$A$3:$A$228,0)),1),1)</f>
        <v>12.3</v>
      </c>
      <c r="M195" s="20">
        <f>ROUND(INDEX('Stats base'!D$5:D$8,MATCH($C195,'Stats base'!$A$5:$A$8,0))*INDEX('Stats base'!D$12:D$14,MATCH($E195,'Stats base'!$A$12:$A$14,0))*INDEX('Stats base'!D$18:D$22,MATCH($J195,'Stats base'!$A$18:$A$22,0))*IFERROR(INDEX(Variación!E$3:E$228,MATCH($G195,Variación!$A$3:$A$228,0)),1),1)</f>
        <v>20</v>
      </c>
      <c r="N195" s="20">
        <f>ROUND(INDEX('Stats base'!E$5:E$8,MATCH($C195,'Stats base'!$A$5:$A$8,0))*INDEX('Stats base'!E$12:E$14,MATCH($E195,'Stats base'!$A$12:$A$14,0))*INDEX('Stats base'!E$18:E$22,MATCH($J195,'Stats base'!$A$18:$A$22,0))*IFERROR(INDEX(Variación!F$3:F$228,MATCH($G195,Variación!$A$3:$A$228,0)),1),1)</f>
        <v>3.5</v>
      </c>
      <c r="O195" s="19">
        <f>ROUND(INDEX('Stats base'!F$5:F$8,MATCH($C195,'Stats base'!$A$5:$A$8,0))*INDEX('Stats base'!F$12:F$14,MATCH($E195,'Stats base'!$A$12:$A$14,0))*INDEX('Stats base'!F$18:F$22,MATCH($J195,'Stats base'!$A$18:$A$22,0))*IFERROR(INDEX(Variación!G$3:G$228,MATCH($G195,Variación!$A$3:$A$228,0)),1),0)</f>
        <v>84</v>
      </c>
      <c r="P195" s="21">
        <f>MIN('Stats base'!$G$30,ROUND(INDEX('Stats base'!G$5:G$8,MATCH($C195,'Stats base'!$A$5:$A$8,0))*INDEX('Stats base'!G$12:G$14,MATCH($E195,'Stats base'!$A$12:$A$14,0))*INDEX('Stats base'!G$18:G$22,MATCH($J195,'Stats base'!$A$18:$A$22,0))*IFERROR(INDEX(Variación!H$3:H$228,MATCH($G195,Variación!$A$3:$A$228,0)),1),3))</f>
        <v>1.6E-2</v>
      </c>
    </row>
    <row r="196" spans="1:16" ht="34.5" customHeight="1" x14ac:dyDescent="0.25">
      <c r="A196" s="15" t="s">
        <v>637</v>
      </c>
      <c r="B196" s="15" t="s">
        <v>638</v>
      </c>
      <c r="C196" s="16" t="s">
        <v>58</v>
      </c>
      <c r="D196" s="17" t="s">
        <v>29</v>
      </c>
      <c r="E196" s="16" t="s">
        <v>53</v>
      </c>
      <c r="F196" s="16" t="s">
        <v>75</v>
      </c>
      <c r="G196" s="18" t="s">
        <v>639</v>
      </c>
      <c r="H196" s="18"/>
      <c r="I196" s="18" t="s">
        <v>597</v>
      </c>
      <c r="J196" s="18" t="s">
        <v>85</v>
      </c>
      <c r="K196" s="19">
        <f>ROUND(INDEX('Stats base'!B$5:B$8,MATCH($C196,'Stats base'!$A$5:$A$8,0))*INDEX('Stats base'!B$12:B$14,MATCH($E196,'Stats base'!$A$12:$A$14,0))*INDEX('Stats base'!B$18:B$22,MATCH($J196,'Stats base'!$A$18:$A$22,0))*IFERROR(INDEX(Variación!C$3:C$228,MATCH($G196,Variación!$A$3:$A$228,0)),1),0)</f>
        <v>84</v>
      </c>
      <c r="L196" s="20">
        <f>ROUND(INDEX('Stats base'!C$5:C$8,MATCH($C196,'Stats base'!$A$5:$A$8,0))*INDEX('Stats base'!C$12:C$14,MATCH($E196,'Stats base'!$A$12:$A$14,0))*INDEX('Stats base'!C$18:C$22,MATCH($J196,'Stats base'!$A$18:$A$22,0))*IFERROR(INDEX(Variación!D$3:D$228,MATCH($G196,Variación!$A$3:$A$228,0)),1),1)</f>
        <v>8.6</v>
      </c>
      <c r="M196" s="20">
        <f>ROUND(INDEX('Stats base'!D$5:D$8,MATCH($C196,'Stats base'!$A$5:$A$8,0))*INDEX('Stats base'!D$12:D$14,MATCH($E196,'Stats base'!$A$12:$A$14,0))*INDEX('Stats base'!D$18:D$22,MATCH($J196,'Stats base'!$A$18:$A$22,0))*IFERROR(INDEX(Variación!E$3:E$228,MATCH($G196,Variación!$A$3:$A$228,0)),1),1)</f>
        <v>15.8</v>
      </c>
      <c r="N196" s="20">
        <f>ROUND(INDEX('Stats base'!E$5:E$8,MATCH($C196,'Stats base'!$A$5:$A$8,0))*INDEX('Stats base'!E$12:E$14,MATCH($E196,'Stats base'!$A$12:$A$14,0))*INDEX('Stats base'!E$18:E$22,MATCH($J196,'Stats base'!$A$18:$A$22,0))*IFERROR(INDEX(Variación!F$3:F$228,MATCH($G196,Variación!$A$3:$A$228,0)),1),1)</f>
        <v>3.7</v>
      </c>
      <c r="O196" s="19">
        <f>ROUND(INDEX('Stats base'!F$5:F$8,MATCH($C196,'Stats base'!$A$5:$A$8,0))*INDEX('Stats base'!F$12:F$14,MATCH($E196,'Stats base'!$A$12:$A$14,0))*INDEX('Stats base'!F$18:F$22,MATCH($J196,'Stats base'!$A$18:$A$22,0))*IFERROR(INDEX(Variación!G$3:G$228,MATCH($G196,Variación!$A$3:$A$228,0)),1),0)</f>
        <v>115</v>
      </c>
      <c r="P196" s="21">
        <f>MIN('Stats base'!$G$30,ROUND(INDEX('Stats base'!G$5:G$8,MATCH($C196,'Stats base'!$A$5:$A$8,0))*INDEX('Stats base'!G$12:G$14,MATCH($E196,'Stats base'!$A$12:$A$14,0))*INDEX('Stats base'!G$18:G$22,MATCH($J196,'Stats base'!$A$18:$A$22,0))*IFERROR(INDEX(Variación!H$3:H$228,MATCH($G196,Variación!$A$3:$A$228,0)),1),3))</f>
        <v>3.9E-2</v>
      </c>
    </row>
    <row r="197" spans="1:16" ht="34.5" customHeight="1" x14ac:dyDescent="0.25">
      <c r="A197" s="15" t="s">
        <v>640</v>
      </c>
      <c r="B197" s="15" t="s">
        <v>641</v>
      </c>
      <c r="C197" s="16" t="s">
        <v>28</v>
      </c>
      <c r="D197" s="17" t="s">
        <v>29</v>
      </c>
      <c r="E197" s="16" t="s">
        <v>42</v>
      </c>
      <c r="F197" s="16" t="s">
        <v>789</v>
      </c>
      <c r="G197" s="18" t="s">
        <v>642</v>
      </c>
      <c r="H197" s="18"/>
      <c r="I197" s="18" t="s">
        <v>597</v>
      </c>
      <c r="J197" s="18" t="s">
        <v>85</v>
      </c>
      <c r="K197" s="19">
        <f>ROUND(INDEX('Stats base'!B$5:B$8,MATCH($C197,'Stats base'!$A$5:$A$8,0))*INDEX('Stats base'!B$12:B$14,MATCH($E197,'Stats base'!$A$12:$A$14,0))*INDEX('Stats base'!B$18:B$22,MATCH($J197,'Stats base'!$A$18:$A$22,0))*IFERROR(INDEX(Variación!C$3:C$228,MATCH($G197,Variación!$A$3:$A$228,0)),1),0)</f>
        <v>133</v>
      </c>
      <c r="L197" s="20">
        <f>ROUND(INDEX('Stats base'!C$5:C$8,MATCH($C197,'Stats base'!$A$5:$A$8,0))*INDEX('Stats base'!C$12:C$14,MATCH($E197,'Stats base'!$A$12:$A$14,0))*INDEX('Stats base'!C$18:C$22,MATCH($J197,'Stats base'!$A$18:$A$22,0))*IFERROR(INDEX(Variación!D$3:D$228,MATCH($G197,Variación!$A$3:$A$228,0)),1),1)</f>
        <v>8.6999999999999993</v>
      </c>
      <c r="M197" s="20">
        <f>ROUND(INDEX('Stats base'!D$5:D$8,MATCH($C197,'Stats base'!$A$5:$A$8,0))*INDEX('Stats base'!D$12:D$14,MATCH($E197,'Stats base'!$A$12:$A$14,0))*INDEX('Stats base'!D$18:D$22,MATCH($J197,'Stats base'!$A$18:$A$22,0))*IFERROR(INDEX(Variación!E$3:E$228,MATCH($G197,Variación!$A$3:$A$228,0)),1),1)</f>
        <v>19.100000000000001</v>
      </c>
      <c r="N197" s="20">
        <f>ROUND(INDEX('Stats base'!E$5:E$8,MATCH($C197,'Stats base'!$A$5:$A$8,0))*INDEX('Stats base'!E$12:E$14,MATCH($E197,'Stats base'!$A$12:$A$14,0))*INDEX('Stats base'!E$18:E$22,MATCH($J197,'Stats base'!$A$18:$A$22,0))*IFERROR(INDEX(Variación!F$3:F$228,MATCH($G197,Variación!$A$3:$A$228,0)),1),1)</f>
        <v>8.1</v>
      </c>
      <c r="O197" s="19">
        <f>ROUND(INDEX('Stats base'!F$5:F$8,MATCH($C197,'Stats base'!$A$5:$A$8,0))*INDEX('Stats base'!F$12:F$14,MATCH($E197,'Stats base'!$A$12:$A$14,0))*INDEX('Stats base'!F$18:F$22,MATCH($J197,'Stats base'!$A$18:$A$22,0))*IFERROR(INDEX(Variación!G$3:G$228,MATCH($G197,Variación!$A$3:$A$228,0)),1),0)</f>
        <v>72</v>
      </c>
      <c r="P197" s="21">
        <f>MIN('Stats base'!$G$30,ROUND(INDEX('Stats base'!G$5:G$8,MATCH($C197,'Stats base'!$A$5:$A$8,0))*INDEX('Stats base'!G$12:G$14,MATCH($E197,'Stats base'!$A$12:$A$14,0))*INDEX('Stats base'!G$18:G$22,MATCH($J197,'Stats base'!$A$18:$A$22,0))*IFERROR(INDEX(Variación!H$3:H$228,MATCH($G197,Variación!$A$3:$A$228,0)),1),3))</f>
        <v>7.0000000000000001E-3</v>
      </c>
    </row>
    <row r="198" spans="1:16" ht="34.5" hidden="1" customHeight="1" x14ac:dyDescent="0.25">
      <c r="A198" s="15" t="s">
        <v>643</v>
      </c>
      <c r="B198" s="15" t="s">
        <v>644</v>
      </c>
      <c r="C198" s="16" t="s">
        <v>28</v>
      </c>
      <c r="D198" s="17" t="s">
        <v>29</v>
      </c>
      <c r="E198" s="16" t="s">
        <v>30</v>
      </c>
      <c r="F198" s="16" t="s">
        <v>54</v>
      </c>
      <c r="G198" s="18" t="s">
        <v>645</v>
      </c>
      <c r="H198" s="18"/>
      <c r="I198" s="18" t="s">
        <v>646</v>
      </c>
      <c r="J198" s="18" t="s">
        <v>70</v>
      </c>
      <c r="K198" s="19">
        <f>ROUND(INDEX('Stats base'!B$5:B$8,MATCH($C198,'Stats base'!$A$5:$A$8,0))*INDEX('Stats base'!B$12:B$14,MATCH($E198,'Stats base'!$A$12:$A$14,0))*INDEX('Stats base'!B$18:B$22,MATCH($J198,'Stats base'!$A$18:$A$22,0))*IFERROR(INDEX(Variación!C$3:C$228,MATCH($G198,Variación!$A$3:$A$228,0)),1),0)</f>
        <v>136</v>
      </c>
      <c r="L198" s="20">
        <f>ROUND(INDEX('Stats base'!C$5:C$8,MATCH($C198,'Stats base'!$A$5:$A$8,0))*INDEX('Stats base'!C$12:C$14,MATCH($E198,'Stats base'!$A$12:$A$14,0))*INDEX('Stats base'!C$18:C$22,MATCH($J198,'Stats base'!$A$18:$A$22,0))*IFERROR(INDEX(Variación!D$3:D$228,MATCH($G198,Variación!$A$3:$A$228,0)),1),1)</f>
        <v>9.8000000000000007</v>
      </c>
      <c r="M198" s="20">
        <f>ROUND(INDEX('Stats base'!D$5:D$8,MATCH($C198,'Stats base'!$A$5:$A$8,0))*INDEX('Stats base'!D$12:D$14,MATCH($E198,'Stats base'!$A$12:$A$14,0))*INDEX('Stats base'!D$18:D$22,MATCH($J198,'Stats base'!$A$18:$A$22,0))*IFERROR(INDEX(Variación!E$3:E$228,MATCH($G198,Variación!$A$3:$A$228,0)),1),1)</f>
        <v>21.6</v>
      </c>
      <c r="N198" s="20">
        <f>ROUND(INDEX('Stats base'!E$5:E$8,MATCH($C198,'Stats base'!$A$5:$A$8,0))*INDEX('Stats base'!E$12:E$14,MATCH($E198,'Stats base'!$A$12:$A$14,0))*INDEX('Stats base'!E$18:E$22,MATCH($J198,'Stats base'!$A$18:$A$22,0))*IFERROR(INDEX(Variación!F$3:F$228,MATCH($G198,Variación!$A$3:$A$228,0)),1),1)</f>
        <v>8</v>
      </c>
      <c r="O198" s="19">
        <f>ROUND(INDEX('Stats base'!F$5:F$8,MATCH($C198,'Stats base'!$A$5:$A$8,0))*INDEX('Stats base'!F$12:F$14,MATCH($E198,'Stats base'!$A$12:$A$14,0))*INDEX('Stats base'!F$18:F$22,MATCH($J198,'Stats base'!$A$18:$A$22,0))*IFERROR(INDEX(Variación!G$3:G$228,MATCH($G198,Variación!$A$3:$A$228,0)),1),0)</f>
        <v>92</v>
      </c>
      <c r="P198" s="21">
        <f>MIN('Stats base'!$G$30,ROUND(INDEX('Stats base'!G$5:G$8,MATCH($C198,'Stats base'!$A$5:$A$8,0))*INDEX('Stats base'!G$12:G$14,MATCH($E198,'Stats base'!$A$12:$A$14,0))*INDEX('Stats base'!G$18:G$22,MATCH($J198,'Stats base'!$A$18:$A$22,0))*IFERROR(INDEX(Variación!H$3:H$228,MATCH($G198,Variación!$A$3:$A$228,0)),1),3))</f>
        <v>1.2E-2</v>
      </c>
    </row>
    <row r="199" spans="1:16" ht="34.5" customHeight="1" x14ac:dyDescent="0.25">
      <c r="A199" s="15" t="s">
        <v>647</v>
      </c>
      <c r="B199" s="15" t="s">
        <v>648</v>
      </c>
      <c r="C199" s="16" t="s">
        <v>37</v>
      </c>
      <c r="D199" s="17" t="s">
        <v>29</v>
      </c>
      <c r="E199" s="16" t="s">
        <v>30</v>
      </c>
      <c r="F199" s="16" t="s">
        <v>38</v>
      </c>
      <c r="G199" s="18" t="s">
        <v>649</v>
      </c>
      <c r="H199" s="18"/>
      <c r="I199" s="18" t="s">
        <v>646</v>
      </c>
      <c r="J199" s="18" t="s">
        <v>85</v>
      </c>
      <c r="K199" s="19">
        <f>ROUND(INDEX('Stats base'!B$5:B$8,MATCH($C199,'Stats base'!$A$5:$A$8,0))*INDEX('Stats base'!B$12:B$14,MATCH($E199,'Stats base'!$A$12:$A$14,0))*INDEX('Stats base'!B$18:B$22,MATCH($J199,'Stats base'!$A$18:$A$22,0))*IFERROR(INDEX(Variación!C$3:C$228,MATCH($G199,Variación!$A$3:$A$228,0)),1),0)</f>
        <v>133</v>
      </c>
      <c r="L199" s="20">
        <f>ROUND(INDEX('Stats base'!C$5:C$8,MATCH($C199,'Stats base'!$A$5:$A$8,0))*INDEX('Stats base'!C$12:C$14,MATCH($E199,'Stats base'!$A$12:$A$14,0))*INDEX('Stats base'!C$18:C$22,MATCH($J199,'Stats base'!$A$18:$A$22,0))*IFERROR(INDEX(Variación!D$3:D$228,MATCH($G199,Variación!$A$3:$A$228,0)),1),1)</f>
        <v>7.6</v>
      </c>
      <c r="M199" s="20">
        <f>ROUND(INDEX('Stats base'!D$5:D$8,MATCH($C199,'Stats base'!$A$5:$A$8,0))*INDEX('Stats base'!D$12:D$14,MATCH($E199,'Stats base'!$A$12:$A$14,0))*INDEX('Stats base'!D$18:D$22,MATCH($J199,'Stats base'!$A$18:$A$22,0))*IFERROR(INDEX(Variación!E$3:E$228,MATCH($G199,Variación!$A$3:$A$228,0)),1),1)</f>
        <v>12.4</v>
      </c>
      <c r="N199" s="20">
        <f>ROUND(INDEX('Stats base'!E$5:E$8,MATCH($C199,'Stats base'!$A$5:$A$8,0))*INDEX('Stats base'!E$12:E$14,MATCH($E199,'Stats base'!$A$12:$A$14,0))*INDEX('Stats base'!E$18:E$22,MATCH($J199,'Stats base'!$A$18:$A$22,0))*IFERROR(INDEX(Variación!F$3:F$228,MATCH($G199,Variación!$A$3:$A$228,0)),1),1)</f>
        <v>8.5</v>
      </c>
      <c r="O199" s="19">
        <f>ROUND(INDEX('Stats base'!F$5:F$8,MATCH($C199,'Stats base'!$A$5:$A$8,0))*INDEX('Stats base'!F$12:F$14,MATCH($E199,'Stats base'!$A$12:$A$14,0))*INDEX('Stats base'!F$18:F$22,MATCH($J199,'Stats base'!$A$18:$A$22,0))*IFERROR(INDEX(Variación!G$3:G$228,MATCH($G199,Variación!$A$3:$A$228,0)),1),0)</f>
        <v>88</v>
      </c>
      <c r="P199" s="21">
        <f>MIN('Stats base'!$G$30,ROUND(INDEX('Stats base'!G$5:G$8,MATCH($C199,'Stats base'!$A$5:$A$8,0))*INDEX('Stats base'!G$12:G$14,MATCH($E199,'Stats base'!$A$12:$A$14,0))*INDEX('Stats base'!G$18:G$22,MATCH($J199,'Stats base'!$A$18:$A$22,0))*IFERROR(INDEX(Variación!H$3:H$228,MATCH($G199,Variación!$A$3:$A$228,0)),1),3))</f>
        <v>1.0999999999999999E-2</v>
      </c>
    </row>
    <row r="200" spans="1:16" ht="34.5" customHeight="1" x14ac:dyDescent="0.25">
      <c r="A200" s="15" t="s">
        <v>650</v>
      </c>
      <c r="B200" s="15" t="s">
        <v>651</v>
      </c>
      <c r="C200" s="16" t="s">
        <v>37</v>
      </c>
      <c r="D200" s="17" t="s">
        <v>29</v>
      </c>
      <c r="E200" s="16" t="s">
        <v>30</v>
      </c>
      <c r="F200" s="16" t="s">
        <v>54</v>
      </c>
      <c r="G200" s="18" t="s">
        <v>652</v>
      </c>
      <c r="H200" s="18"/>
      <c r="I200" s="18" t="s">
        <v>646</v>
      </c>
      <c r="J200" s="18" t="s">
        <v>85</v>
      </c>
      <c r="K200" s="19">
        <f>ROUND(INDEX('Stats base'!B$5:B$8,MATCH($C200,'Stats base'!$A$5:$A$8,0))*INDEX('Stats base'!B$12:B$14,MATCH($E200,'Stats base'!$A$12:$A$14,0))*INDEX('Stats base'!B$18:B$22,MATCH($J200,'Stats base'!$A$18:$A$22,0))*IFERROR(INDEX(Variación!C$3:C$228,MATCH($G200,Variación!$A$3:$A$228,0)),1),0)</f>
        <v>126</v>
      </c>
      <c r="L200" s="20">
        <f>ROUND(INDEX('Stats base'!C$5:C$8,MATCH($C200,'Stats base'!$A$5:$A$8,0))*INDEX('Stats base'!C$12:C$14,MATCH($E200,'Stats base'!$A$12:$A$14,0))*INDEX('Stats base'!C$18:C$22,MATCH($J200,'Stats base'!$A$18:$A$22,0))*IFERROR(INDEX(Variación!D$3:D$228,MATCH($G200,Variación!$A$3:$A$228,0)),1),1)</f>
        <v>6.7</v>
      </c>
      <c r="M200" s="20">
        <f>ROUND(INDEX('Stats base'!D$5:D$8,MATCH($C200,'Stats base'!$A$5:$A$8,0))*INDEX('Stats base'!D$12:D$14,MATCH($E200,'Stats base'!$A$12:$A$14,0))*INDEX('Stats base'!D$18:D$22,MATCH($J200,'Stats base'!$A$18:$A$22,0))*IFERROR(INDEX(Variación!E$3:E$228,MATCH($G200,Variación!$A$3:$A$228,0)),1),1)</f>
        <v>12.1</v>
      </c>
      <c r="N200" s="20">
        <f>ROUND(INDEX('Stats base'!E$5:E$8,MATCH($C200,'Stats base'!$A$5:$A$8,0))*INDEX('Stats base'!E$12:E$14,MATCH($E200,'Stats base'!$A$12:$A$14,0))*INDEX('Stats base'!E$18:E$22,MATCH($J200,'Stats base'!$A$18:$A$22,0))*IFERROR(INDEX(Variación!F$3:F$228,MATCH($G200,Variación!$A$3:$A$228,0)),1),1)</f>
        <v>8.1999999999999993</v>
      </c>
      <c r="O200" s="19">
        <f>ROUND(INDEX('Stats base'!F$5:F$8,MATCH($C200,'Stats base'!$A$5:$A$8,0))*INDEX('Stats base'!F$12:F$14,MATCH($E200,'Stats base'!$A$12:$A$14,0))*INDEX('Stats base'!F$18:F$22,MATCH($J200,'Stats base'!$A$18:$A$22,0))*IFERROR(INDEX(Variación!G$3:G$228,MATCH($G200,Variación!$A$3:$A$228,0)),1),0)</f>
        <v>96</v>
      </c>
      <c r="P200" s="21">
        <f>MIN('Stats base'!$G$30,ROUND(INDEX('Stats base'!G$5:G$8,MATCH($C200,'Stats base'!$A$5:$A$8,0))*INDEX('Stats base'!G$12:G$14,MATCH($E200,'Stats base'!$A$12:$A$14,0))*INDEX('Stats base'!G$18:G$22,MATCH($J200,'Stats base'!$A$18:$A$22,0))*IFERROR(INDEX(Variación!H$3:H$228,MATCH($G200,Variación!$A$3:$A$228,0)),1),3))</f>
        <v>1.2999999999999999E-2</v>
      </c>
    </row>
    <row r="201" spans="1:16" ht="34.5" customHeight="1" x14ac:dyDescent="0.25">
      <c r="A201" s="15" t="s">
        <v>653</v>
      </c>
      <c r="B201" s="15" t="s">
        <v>654</v>
      </c>
      <c r="C201" s="16" t="s">
        <v>37</v>
      </c>
      <c r="D201" s="17" t="s">
        <v>29</v>
      </c>
      <c r="E201" s="16" t="s">
        <v>42</v>
      </c>
      <c r="F201" s="16" t="s">
        <v>43</v>
      </c>
      <c r="G201" s="18" t="s">
        <v>655</v>
      </c>
      <c r="H201" s="18"/>
      <c r="I201" s="18" t="s">
        <v>646</v>
      </c>
      <c r="J201" s="18" t="s">
        <v>85</v>
      </c>
      <c r="K201" s="19">
        <f>ROUND(INDEX('Stats base'!B$5:B$8,MATCH($C201,'Stats base'!$A$5:$A$8,0))*INDEX('Stats base'!B$12:B$14,MATCH($E201,'Stats base'!$A$12:$A$14,0))*INDEX('Stats base'!B$18:B$22,MATCH($J201,'Stats base'!$A$18:$A$22,0))*IFERROR(INDEX(Variación!C$3:C$228,MATCH($G201,Variación!$A$3:$A$228,0)),1),0)</f>
        <v>147</v>
      </c>
      <c r="L201" s="20">
        <f>ROUND(INDEX('Stats base'!C$5:C$8,MATCH($C201,'Stats base'!$A$5:$A$8,0))*INDEX('Stats base'!C$12:C$14,MATCH($E201,'Stats base'!$A$12:$A$14,0))*INDEX('Stats base'!C$18:C$22,MATCH($J201,'Stats base'!$A$18:$A$22,0))*IFERROR(INDEX(Variación!D$3:D$228,MATCH($G201,Variación!$A$3:$A$228,0)),1),1)</f>
        <v>8.1999999999999993</v>
      </c>
      <c r="M201" s="20">
        <f>ROUND(INDEX('Stats base'!D$5:D$8,MATCH($C201,'Stats base'!$A$5:$A$8,0))*INDEX('Stats base'!D$12:D$14,MATCH($E201,'Stats base'!$A$12:$A$14,0))*INDEX('Stats base'!D$18:D$22,MATCH($J201,'Stats base'!$A$18:$A$22,0))*IFERROR(INDEX(Variación!E$3:E$228,MATCH($G201,Variación!$A$3:$A$228,0)),1),1)</f>
        <v>13.9</v>
      </c>
      <c r="N201" s="20">
        <f>ROUND(INDEX('Stats base'!E$5:E$8,MATCH($C201,'Stats base'!$A$5:$A$8,0))*INDEX('Stats base'!E$12:E$14,MATCH($E201,'Stats base'!$A$12:$A$14,0))*INDEX('Stats base'!E$18:E$22,MATCH($J201,'Stats base'!$A$18:$A$22,0))*IFERROR(INDEX(Variación!F$3:F$228,MATCH($G201,Variación!$A$3:$A$228,0)),1),1)</f>
        <v>9.9</v>
      </c>
      <c r="O201" s="19">
        <f>ROUND(INDEX('Stats base'!F$5:F$8,MATCH($C201,'Stats base'!$A$5:$A$8,0))*INDEX('Stats base'!F$12:F$14,MATCH($E201,'Stats base'!$A$12:$A$14,0))*INDEX('Stats base'!F$18:F$22,MATCH($J201,'Stats base'!$A$18:$A$22,0))*IFERROR(INDEX(Variación!G$3:G$228,MATCH($G201,Variación!$A$3:$A$228,0)),1),0)</f>
        <v>74</v>
      </c>
      <c r="P201" s="21">
        <f>MIN('Stats base'!$G$30,ROUND(INDEX('Stats base'!G$5:G$8,MATCH($C201,'Stats base'!$A$5:$A$8,0))*INDEX('Stats base'!G$12:G$14,MATCH($E201,'Stats base'!$A$12:$A$14,0))*INDEX('Stats base'!G$18:G$22,MATCH($J201,'Stats base'!$A$18:$A$22,0))*IFERROR(INDEX(Variación!H$3:H$228,MATCH($G201,Variación!$A$3:$A$228,0)),1),3))</f>
        <v>8.9999999999999993E-3</v>
      </c>
    </row>
    <row r="202" spans="1:16" ht="34.5" customHeight="1" x14ac:dyDescent="0.25">
      <c r="A202" s="15" t="s">
        <v>656</v>
      </c>
      <c r="B202" s="15" t="s">
        <v>657</v>
      </c>
      <c r="C202" s="16" t="s">
        <v>37</v>
      </c>
      <c r="D202" s="17" t="s">
        <v>29</v>
      </c>
      <c r="E202" s="16" t="s">
        <v>30</v>
      </c>
      <c r="F202" s="16" t="s">
        <v>48</v>
      </c>
      <c r="G202" s="18" t="s">
        <v>658</v>
      </c>
      <c r="H202" s="18"/>
      <c r="I202" s="18" t="s">
        <v>646</v>
      </c>
      <c r="J202" s="18" t="s">
        <v>85</v>
      </c>
      <c r="K202" s="19">
        <f>ROUND(INDEX('Stats base'!B$5:B$8,MATCH($C202,'Stats base'!$A$5:$A$8,0))*INDEX('Stats base'!B$12:B$14,MATCH($E202,'Stats base'!$A$12:$A$14,0))*INDEX('Stats base'!B$18:B$22,MATCH($J202,'Stats base'!$A$18:$A$22,0))*IFERROR(INDEX(Variación!C$3:C$228,MATCH($G202,Variación!$A$3:$A$228,0)),1),0)</f>
        <v>118</v>
      </c>
      <c r="L202" s="20">
        <f>ROUND(INDEX('Stats base'!C$5:C$8,MATCH($C202,'Stats base'!$A$5:$A$8,0))*INDEX('Stats base'!C$12:C$14,MATCH($E202,'Stats base'!$A$12:$A$14,0))*INDEX('Stats base'!C$18:C$22,MATCH($J202,'Stats base'!$A$18:$A$22,0))*IFERROR(INDEX(Variación!D$3:D$228,MATCH($G202,Variación!$A$3:$A$228,0)),1),1)</f>
        <v>7.2</v>
      </c>
      <c r="M202" s="20">
        <f>ROUND(INDEX('Stats base'!D$5:D$8,MATCH($C202,'Stats base'!$A$5:$A$8,0))*INDEX('Stats base'!D$12:D$14,MATCH($E202,'Stats base'!$A$12:$A$14,0))*INDEX('Stats base'!D$18:D$22,MATCH($J202,'Stats base'!$A$18:$A$22,0))*IFERROR(INDEX(Variación!E$3:E$228,MATCH($G202,Variación!$A$3:$A$228,0)),1),1)</f>
        <v>12.4</v>
      </c>
      <c r="N202" s="20">
        <f>ROUND(INDEX('Stats base'!E$5:E$8,MATCH($C202,'Stats base'!$A$5:$A$8,0))*INDEX('Stats base'!E$12:E$14,MATCH($E202,'Stats base'!$A$12:$A$14,0))*INDEX('Stats base'!E$18:E$22,MATCH($J202,'Stats base'!$A$18:$A$22,0))*IFERROR(INDEX(Variación!F$3:F$228,MATCH($G202,Variación!$A$3:$A$228,0)),1),1)</f>
        <v>7.9</v>
      </c>
      <c r="O202" s="19">
        <f>ROUND(INDEX('Stats base'!F$5:F$8,MATCH($C202,'Stats base'!$A$5:$A$8,0))*INDEX('Stats base'!F$12:F$14,MATCH($E202,'Stats base'!$A$12:$A$14,0))*INDEX('Stats base'!F$18:F$22,MATCH($J202,'Stats base'!$A$18:$A$22,0))*IFERROR(INDEX(Variación!G$3:G$228,MATCH($G202,Variación!$A$3:$A$228,0)),1),0)</f>
        <v>90</v>
      </c>
      <c r="P202" s="21">
        <f>MIN('Stats base'!$G$30,ROUND(INDEX('Stats base'!G$5:G$8,MATCH($C202,'Stats base'!$A$5:$A$8,0))*INDEX('Stats base'!G$12:G$14,MATCH($E202,'Stats base'!$A$12:$A$14,0))*INDEX('Stats base'!G$18:G$22,MATCH($J202,'Stats base'!$A$18:$A$22,0))*IFERROR(INDEX(Variación!H$3:H$228,MATCH($G202,Variación!$A$3:$A$228,0)),1),3))</f>
        <v>1.2E-2</v>
      </c>
    </row>
    <row r="203" spans="1:16" ht="34.5" customHeight="1" x14ac:dyDescent="0.25">
      <c r="A203" s="15" t="s">
        <v>659</v>
      </c>
      <c r="B203" s="15" t="s">
        <v>660</v>
      </c>
      <c r="C203" s="16" t="s">
        <v>58</v>
      </c>
      <c r="D203" s="17" t="s">
        <v>29</v>
      </c>
      <c r="E203" s="16" t="s">
        <v>30</v>
      </c>
      <c r="F203" s="16" t="s">
        <v>48</v>
      </c>
      <c r="G203" s="18" t="s">
        <v>661</v>
      </c>
      <c r="H203" s="18"/>
      <c r="I203" s="18" t="s">
        <v>646</v>
      </c>
      <c r="J203" s="18" t="s">
        <v>85</v>
      </c>
      <c r="K203" s="19">
        <f>ROUND(INDEX('Stats base'!B$5:B$8,MATCH($C203,'Stats base'!$A$5:$A$8,0))*INDEX('Stats base'!B$12:B$14,MATCH($E203,'Stats base'!$A$12:$A$14,0))*INDEX('Stats base'!B$18:B$22,MATCH($J203,'Stats base'!$A$18:$A$22,0))*IFERROR(INDEX(Variación!C$3:C$228,MATCH($G203,Variación!$A$3:$A$228,0)),1),0)</f>
        <v>95</v>
      </c>
      <c r="L203" s="20">
        <f>ROUND(INDEX('Stats base'!C$5:C$8,MATCH($C203,'Stats base'!$A$5:$A$8,0))*INDEX('Stats base'!C$12:C$14,MATCH($E203,'Stats base'!$A$12:$A$14,0))*INDEX('Stats base'!C$18:C$22,MATCH($J203,'Stats base'!$A$18:$A$22,0))*IFERROR(INDEX(Variación!D$3:D$228,MATCH($G203,Variación!$A$3:$A$228,0)),1),1)</f>
        <v>9.3000000000000007</v>
      </c>
      <c r="M203" s="20">
        <f>ROUND(INDEX('Stats base'!D$5:D$8,MATCH($C203,'Stats base'!$A$5:$A$8,0))*INDEX('Stats base'!D$12:D$14,MATCH($E203,'Stats base'!$A$12:$A$14,0))*INDEX('Stats base'!D$18:D$22,MATCH($J203,'Stats base'!$A$18:$A$22,0))*IFERROR(INDEX(Variación!E$3:E$228,MATCH($G203,Variación!$A$3:$A$228,0)),1),1)</f>
        <v>14.9</v>
      </c>
      <c r="N203" s="20">
        <f>ROUND(INDEX('Stats base'!E$5:E$8,MATCH($C203,'Stats base'!$A$5:$A$8,0))*INDEX('Stats base'!E$12:E$14,MATCH($E203,'Stats base'!$A$12:$A$14,0))*INDEX('Stats base'!E$18:E$22,MATCH($J203,'Stats base'!$A$18:$A$22,0))*IFERROR(INDEX(Variación!F$3:F$228,MATCH($G203,Variación!$A$3:$A$228,0)),1),1)</f>
        <v>4</v>
      </c>
      <c r="O203" s="19">
        <f>ROUND(INDEX('Stats base'!F$5:F$8,MATCH($C203,'Stats base'!$A$5:$A$8,0))*INDEX('Stats base'!F$12:F$14,MATCH($E203,'Stats base'!$A$12:$A$14,0))*INDEX('Stats base'!F$18:F$22,MATCH($J203,'Stats base'!$A$18:$A$22,0))*IFERROR(INDEX(Variación!G$3:G$228,MATCH($G203,Variación!$A$3:$A$228,0)),1),0)</f>
        <v>107</v>
      </c>
      <c r="P203" s="21">
        <f>MIN('Stats base'!$G$30,ROUND(INDEX('Stats base'!G$5:G$8,MATCH($C203,'Stats base'!$A$5:$A$8,0))*INDEX('Stats base'!G$12:G$14,MATCH($E203,'Stats base'!$A$12:$A$14,0))*INDEX('Stats base'!G$18:G$22,MATCH($J203,'Stats base'!$A$18:$A$22,0))*IFERROR(INDEX(Variación!H$3:H$228,MATCH($G203,Variación!$A$3:$A$228,0)),1),3))</f>
        <v>3.5000000000000003E-2</v>
      </c>
    </row>
    <row r="204" spans="1:16" ht="34.5" customHeight="1" x14ac:dyDescent="0.25">
      <c r="A204" s="15" t="s">
        <v>662</v>
      </c>
      <c r="B204" s="15" t="s">
        <v>663</v>
      </c>
      <c r="C204" s="16" t="s">
        <v>58</v>
      </c>
      <c r="D204" s="17" t="s">
        <v>29</v>
      </c>
      <c r="E204" s="16" t="s">
        <v>53</v>
      </c>
      <c r="F204" s="16" t="s">
        <v>38</v>
      </c>
      <c r="G204" s="18" t="s">
        <v>664</v>
      </c>
      <c r="H204" s="18"/>
      <c r="I204" s="18" t="s">
        <v>646</v>
      </c>
      <c r="J204" s="18" t="s">
        <v>85</v>
      </c>
      <c r="K204" s="19">
        <f>ROUND(INDEX('Stats base'!B$5:B$8,MATCH($C204,'Stats base'!$A$5:$A$8,0))*INDEX('Stats base'!B$12:B$14,MATCH($E204,'Stats base'!$A$12:$A$14,0))*INDEX('Stats base'!B$18:B$22,MATCH($J204,'Stats base'!$A$18:$A$22,0))*IFERROR(INDEX(Variación!C$3:C$228,MATCH($G204,Variación!$A$3:$A$228,0)),1),0)</f>
        <v>91</v>
      </c>
      <c r="L204" s="20">
        <f>ROUND(INDEX('Stats base'!C$5:C$8,MATCH($C204,'Stats base'!$A$5:$A$8,0))*INDEX('Stats base'!C$12:C$14,MATCH($E204,'Stats base'!$A$12:$A$14,0))*INDEX('Stats base'!C$18:C$22,MATCH($J204,'Stats base'!$A$18:$A$22,0))*IFERROR(INDEX(Variación!D$3:D$228,MATCH($G204,Variación!$A$3:$A$228,0)),1),1)</f>
        <v>9.4</v>
      </c>
      <c r="M204" s="20">
        <f>ROUND(INDEX('Stats base'!D$5:D$8,MATCH($C204,'Stats base'!$A$5:$A$8,0))*INDEX('Stats base'!D$12:D$14,MATCH($E204,'Stats base'!$A$12:$A$14,0))*INDEX('Stats base'!D$18:D$22,MATCH($J204,'Stats base'!$A$18:$A$22,0))*IFERROR(INDEX(Variación!E$3:E$228,MATCH($G204,Variación!$A$3:$A$228,0)),1),1)</f>
        <v>16.3</v>
      </c>
      <c r="N204" s="20">
        <f>ROUND(INDEX('Stats base'!E$5:E$8,MATCH($C204,'Stats base'!$A$5:$A$8,0))*INDEX('Stats base'!E$12:E$14,MATCH($E204,'Stats base'!$A$12:$A$14,0))*INDEX('Stats base'!E$18:E$22,MATCH($J204,'Stats base'!$A$18:$A$22,0))*IFERROR(INDEX(Variación!F$3:F$228,MATCH($G204,Variación!$A$3:$A$228,0)),1),1)</f>
        <v>3.9</v>
      </c>
      <c r="O204" s="19">
        <f>ROUND(INDEX('Stats base'!F$5:F$8,MATCH($C204,'Stats base'!$A$5:$A$8,0))*INDEX('Stats base'!F$12:F$14,MATCH($E204,'Stats base'!$A$12:$A$14,0))*INDEX('Stats base'!F$18:F$22,MATCH($J204,'Stats base'!$A$18:$A$22,0))*IFERROR(INDEX(Variación!G$3:G$228,MATCH($G204,Variación!$A$3:$A$228,0)),1),0)</f>
        <v>113</v>
      </c>
      <c r="P204" s="21">
        <f>MIN('Stats base'!$G$30,ROUND(INDEX('Stats base'!G$5:G$8,MATCH($C204,'Stats base'!$A$5:$A$8,0))*INDEX('Stats base'!G$12:G$14,MATCH($E204,'Stats base'!$A$12:$A$14,0))*INDEX('Stats base'!G$18:G$22,MATCH($J204,'Stats base'!$A$18:$A$22,0))*IFERROR(INDEX(Variación!H$3:H$228,MATCH($G204,Variación!$A$3:$A$228,0)),1),3))</f>
        <v>3.7999999999999999E-2</v>
      </c>
    </row>
    <row r="205" spans="1:16" ht="34.5" customHeight="1" x14ac:dyDescent="0.25">
      <c r="A205" s="15" t="s">
        <v>665</v>
      </c>
      <c r="B205" s="15" t="s">
        <v>666</v>
      </c>
      <c r="C205" s="16" t="s">
        <v>58</v>
      </c>
      <c r="D205" s="17" t="s">
        <v>29</v>
      </c>
      <c r="E205" s="16" t="s">
        <v>30</v>
      </c>
      <c r="F205" s="16" t="s">
        <v>48</v>
      </c>
      <c r="G205" s="18" t="s">
        <v>667</v>
      </c>
      <c r="H205" s="18"/>
      <c r="I205" s="18" t="s">
        <v>646</v>
      </c>
      <c r="J205" s="18" t="s">
        <v>85</v>
      </c>
      <c r="K205" s="19">
        <f>ROUND(INDEX('Stats base'!B$5:B$8,MATCH($C205,'Stats base'!$A$5:$A$8,0))*INDEX('Stats base'!B$12:B$14,MATCH($E205,'Stats base'!$A$12:$A$14,0))*INDEX('Stats base'!B$18:B$22,MATCH($J205,'Stats base'!$A$18:$A$22,0))*IFERROR(INDEX(Variación!C$3:C$228,MATCH($G205,Variación!$A$3:$A$228,0)),1),0)</f>
        <v>100</v>
      </c>
      <c r="L205" s="20">
        <f>ROUND(INDEX('Stats base'!C$5:C$8,MATCH($C205,'Stats base'!$A$5:$A$8,0))*INDEX('Stats base'!C$12:C$14,MATCH($E205,'Stats base'!$A$12:$A$14,0))*INDEX('Stats base'!C$18:C$22,MATCH($J205,'Stats base'!$A$18:$A$22,0))*IFERROR(INDEX(Variación!D$3:D$228,MATCH($G205,Variación!$A$3:$A$228,0)),1),1)</f>
        <v>8.6</v>
      </c>
      <c r="M205" s="20">
        <f>ROUND(INDEX('Stats base'!D$5:D$8,MATCH($C205,'Stats base'!$A$5:$A$8,0))*INDEX('Stats base'!D$12:D$14,MATCH($E205,'Stats base'!$A$12:$A$14,0))*INDEX('Stats base'!D$18:D$22,MATCH($J205,'Stats base'!$A$18:$A$22,0))*IFERROR(INDEX(Variación!E$3:E$228,MATCH($G205,Variación!$A$3:$A$228,0)),1),1)</f>
        <v>15.7</v>
      </c>
      <c r="N205" s="20">
        <f>ROUND(INDEX('Stats base'!E$5:E$8,MATCH($C205,'Stats base'!$A$5:$A$8,0))*INDEX('Stats base'!E$12:E$14,MATCH($E205,'Stats base'!$A$12:$A$14,0))*INDEX('Stats base'!E$18:E$22,MATCH($J205,'Stats base'!$A$18:$A$22,0))*IFERROR(INDEX(Variación!F$3:F$228,MATCH($G205,Variación!$A$3:$A$228,0)),1),1)</f>
        <v>4.3</v>
      </c>
      <c r="O205" s="19">
        <f>ROUND(INDEX('Stats base'!F$5:F$8,MATCH($C205,'Stats base'!$A$5:$A$8,0))*INDEX('Stats base'!F$12:F$14,MATCH($E205,'Stats base'!$A$12:$A$14,0))*INDEX('Stats base'!F$18:F$22,MATCH($J205,'Stats base'!$A$18:$A$22,0))*IFERROR(INDEX(Variación!G$3:G$228,MATCH($G205,Variación!$A$3:$A$228,0)),1),0)</f>
        <v>111</v>
      </c>
      <c r="P205" s="21">
        <f>MIN('Stats base'!$G$30,ROUND(INDEX('Stats base'!G$5:G$8,MATCH($C205,'Stats base'!$A$5:$A$8,0))*INDEX('Stats base'!G$12:G$14,MATCH($E205,'Stats base'!$A$12:$A$14,0))*INDEX('Stats base'!G$18:G$22,MATCH($J205,'Stats base'!$A$18:$A$22,0))*IFERROR(INDEX(Variación!H$3:H$228,MATCH($G205,Variación!$A$3:$A$228,0)),1),3))</f>
        <v>3.5999999999999997E-2</v>
      </c>
    </row>
    <row r="206" spans="1:16" ht="34.5" hidden="1" customHeight="1" x14ac:dyDescent="0.25">
      <c r="A206" s="15" t="s">
        <v>668</v>
      </c>
      <c r="B206" s="15" t="s">
        <v>669</v>
      </c>
      <c r="C206" s="16" t="s">
        <v>68</v>
      </c>
      <c r="D206" s="17" t="s">
        <v>29</v>
      </c>
      <c r="E206" s="16" t="s">
        <v>30</v>
      </c>
      <c r="F206" s="16" t="s">
        <v>54</v>
      </c>
      <c r="G206" s="18" t="s">
        <v>670</v>
      </c>
      <c r="H206" s="18"/>
      <c r="I206" s="18" t="s">
        <v>646</v>
      </c>
      <c r="J206" s="18" t="s">
        <v>70</v>
      </c>
      <c r="K206" s="19">
        <f>ROUND(INDEX('Stats base'!B$5:B$8,MATCH($C206,'Stats base'!$A$5:$A$8,0))*INDEX('Stats base'!B$12:B$14,MATCH($E206,'Stats base'!$A$12:$A$14,0))*INDEX('Stats base'!B$18:B$22,MATCH($J206,'Stats base'!$A$18:$A$22,0))*IFERROR(INDEX(Variación!C$3:C$228,MATCH($G206,Variación!$A$3:$A$228,0)),1),0)</f>
        <v>97</v>
      </c>
      <c r="L206" s="20">
        <f>ROUND(INDEX('Stats base'!C$5:C$8,MATCH($C206,'Stats base'!$A$5:$A$8,0))*INDEX('Stats base'!C$12:C$14,MATCH($E206,'Stats base'!$A$12:$A$14,0))*INDEX('Stats base'!C$18:C$22,MATCH($J206,'Stats base'!$A$18:$A$22,0))*IFERROR(INDEX(Variación!D$3:D$228,MATCH($G206,Variación!$A$3:$A$228,0)),1),1)</f>
        <v>12.9</v>
      </c>
      <c r="M206" s="20">
        <f>ROUND(INDEX('Stats base'!D$5:D$8,MATCH($C206,'Stats base'!$A$5:$A$8,0))*INDEX('Stats base'!D$12:D$14,MATCH($E206,'Stats base'!$A$12:$A$14,0))*INDEX('Stats base'!D$18:D$22,MATCH($J206,'Stats base'!$A$18:$A$22,0))*IFERROR(INDEX(Variación!E$3:E$228,MATCH($G206,Variación!$A$3:$A$228,0)),1),1)</f>
        <v>23</v>
      </c>
      <c r="N206" s="20">
        <f>ROUND(INDEX('Stats base'!E$5:E$8,MATCH($C206,'Stats base'!$A$5:$A$8,0))*INDEX('Stats base'!E$12:E$14,MATCH($E206,'Stats base'!$A$12:$A$14,0))*INDEX('Stats base'!E$18:E$22,MATCH($J206,'Stats base'!$A$18:$A$22,0))*IFERROR(INDEX(Variación!F$3:F$228,MATCH($G206,Variación!$A$3:$A$228,0)),1),1)</f>
        <v>3.4</v>
      </c>
      <c r="O206" s="19">
        <f>ROUND(INDEX('Stats base'!F$5:F$8,MATCH($C206,'Stats base'!$A$5:$A$8,0))*INDEX('Stats base'!F$12:F$14,MATCH($E206,'Stats base'!$A$12:$A$14,0))*INDEX('Stats base'!F$18:F$22,MATCH($J206,'Stats base'!$A$18:$A$22,0))*IFERROR(INDEX(Variación!G$3:G$228,MATCH($G206,Variación!$A$3:$A$228,0)),1),0)</f>
        <v>120</v>
      </c>
      <c r="P206" s="21">
        <f>MIN('Stats base'!$G$30,ROUND(INDEX('Stats base'!G$5:G$8,MATCH($C206,'Stats base'!$A$5:$A$8,0))*INDEX('Stats base'!G$12:G$14,MATCH($E206,'Stats base'!$A$12:$A$14,0))*INDEX('Stats base'!G$18:G$22,MATCH($J206,'Stats base'!$A$18:$A$22,0))*IFERROR(INDEX(Variación!H$3:H$228,MATCH($G206,Variación!$A$3:$A$228,0)),1),3))</f>
        <v>3.4000000000000002E-2</v>
      </c>
    </row>
    <row r="207" spans="1:16" ht="34.5" hidden="1" customHeight="1" x14ac:dyDescent="0.25">
      <c r="A207" s="15" t="s">
        <v>671</v>
      </c>
      <c r="B207" s="15" t="s">
        <v>672</v>
      </c>
      <c r="C207" s="16" t="s">
        <v>58</v>
      </c>
      <c r="D207" s="17" t="s">
        <v>29</v>
      </c>
      <c r="E207" s="16" t="s">
        <v>30</v>
      </c>
      <c r="F207" s="16" t="s">
        <v>38</v>
      </c>
      <c r="G207" s="18" t="s">
        <v>673</v>
      </c>
      <c r="H207" s="18"/>
      <c r="I207" s="18" t="s">
        <v>646</v>
      </c>
      <c r="J207" s="18" t="s">
        <v>70</v>
      </c>
      <c r="K207" s="19">
        <f>ROUND(INDEX('Stats base'!B$5:B$8,MATCH($C207,'Stats base'!$A$5:$A$8,0))*INDEX('Stats base'!B$12:B$14,MATCH($E207,'Stats base'!$A$12:$A$14,0))*INDEX('Stats base'!B$18:B$22,MATCH($J207,'Stats base'!$A$18:$A$22,0))*IFERROR(INDEX(Variación!C$3:C$228,MATCH($G207,Variación!$A$3:$A$228,0)),1),0)</f>
        <v>101</v>
      </c>
      <c r="L207" s="20">
        <f>ROUND(INDEX('Stats base'!C$5:C$8,MATCH($C207,'Stats base'!$A$5:$A$8,0))*INDEX('Stats base'!C$12:C$14,MATCH($E207,'Stats base'!$A$12:$A$14,0))*INDEX('Stats base'!C$18:C$22,MATCH($J207,'Stats base'!$A$18:$A$22,0))*IFERROR(INDEX(Variación!D$3:D$228,MATCH($G207,Variación!$A$3:$A$228,0)),1),1)</f>
        <v>11.9</v>
      </c>
      <c r="M207" s="20">
        <f>ROUND(INDEX('Stats base'!D$5:D$8,MATCH($C207,'Stats base'!$A$5:$A$8,0))*INDEX('Stats base'!D$12:D$14,MATCH($E207,'Stats base'!$A$12:$A$14,0))*INDEX('Stats base'!D$18:D$22,MATCH($J207,'Stats base'!$A$18:$A$22,0))*IFERROR(INDEX(Variación!E$3:E$228,MATCH($G207,Variación!$A$3:$A$228,0)),1),1)</f>
        <v>20.2</v>
      </c>
      <c r="N207" s="20">
        <f>ROUND(INDEX('Stats base'!E$5:E$8,MATCH($C207,'Stats base'!$A$5:$A$8,0))*INDEX('Stats base'!E$12:E$14,MATCH($E207,'Stats base'!$A$12:$A$14,0))*INDEX('Stats base'!E$18:E$22,MATCH($J207,'Stats base'!$A$18:$A$22,0))*IFERROR(INDEX(Variación!F$3:F$228,MATCH($G207,Variación!$A$3:$A$228,0)),1),1)</f>
        <v>4.5999999999999996</v>
      </c>
      <c r="O207" s="19">
        <f>ROUND(INDEX('Stats base'!F$5:F$8,MATCH($C207,'Stats base'!$A$5:$A$8,0))*INDEX('Stats base'!F$12:F$14,MATCH($E207,'Stats base'!$A$12:$A$14,0))*INDEX('Stats base'!F$18:F$22,MATCH($J207,'Stats base'!$A$18:$A$22,0))*IFERROR(INDEX(Variación!G$3:G$228,MATCH($G207,Variación!$A$3:$A$228,0)),1),0)</f>
        <v>109</v>
      </c>
      <c r="P207" s="21">
        <f>MIN('Stats base'!$G$30,ROUND(INDEX('Stats base'!G$5:G$8,MATCH($C207,'Stats base'!$A$5:$A$8,0))*INDEX('Stats base'!G$12:G$14,MATCH($E207,'Stats base'!$A$12:$A$14,0))*INDEX('Stats base'!G$18:G$22,MATCH($J207,'Stats base'!$A$18:$A$22,0))*IFERROR(INDEX(Variación!H$3:H$228,MATCH($G207,Variación!$A$3:$A$228,0)),1),3))</f>
        <v>0.05</v>
      </c>
    </row>
    <row r="208" spans="1:16" ht="34.5" hidden="1" customHeight="1" x14ac:dyDescent="0.25">
      <c r="A208" s="15" t="s">
        <v>674</v>
      </c>
      <c r="B208" s="15" t="s">
        <v>675</v>
      </c>
      <c r="C208" s="16" t="s">
        <v>68</v>
      </c>
      <c r="D208" s="17" t="s">
        <v>29</v>
      </c>
      <c r="E208" s="16" t="s">
        <v>30</v>
      </c>
      <c r="F208" s="16" t="s">
        <v>48</v>
      </c>
      <c r="G208" s="18" t="s">
        <v>676</v>
      </c>
      <c r="H208" s="18"/>
      <c r="I208" s="18" t="s">
        <v>646</v>
      </c>
      <c r="J208" s="18" t="s">
        <v>70</v>
      </c>
      <c r="K208" s="19">
        <f>ROUND(INDEX('Stats base'!B$5:B$8,MATCH($C208,'Stats base'!$A$5:$A$8,0))*INDEX('Stats base'!B$12:B$14,MATCH($E208,'Stats base'!$A$12:$A$14,0))*INDEX('Stats base'!B$18:B$22,MATCH($J208,'Stats base'!$A$18:$A$22,0))*IFERROR(INDEX(Variación!C$3:C$228,MATCH($G208,Variación!$A$3:$A$228,0)),1),0)</f>
        <v>101</v>
      </c>
      <c r="L208" s="20">
        <f>ROUND(INDEX('Stats base'!C$5:C$8,MATCH($C208,'Stats base'!$A$5:$A$8,0))*INDEX('Stats base'!C$12:C$14,MATCH($E208,'Stats base'!$A$12:$A$14,0))*INDEX('Stats base'!C$18:C$22,MATCH($J208,'Stats base'!$A$18:$A$22,0))*IFERROR(INDEX(Variación!D$3:D$228,MATCH($G208,Variación!$A$3:$A$228,0)),1),1)</f>
        <v>16.8</v>
      </c>
      <c r="M208" s="20">
        <f>ROUND(INDEX('Stats base'!D$5:D$8,MATCH($C208,'Stats base'!$A$5:$A$8,0))*INDEX('Stats base'!D$12:D$14,MATCH($E208,'Stats base'!$A$12:$A$14,0))*INDEX('Stats base'!D$18:D$22,MATCH($J208,'Stats base'!$A$18:$A$22,0))*IFERROR(INDEX(Variación!E$3:E$228,MATCH($G208,Variación!$A$3:$A$228,0)),1),1)</f>
        <v>28.3</v>
      </c>
      <c r="N208" s="20">
        <f>ROUND(INDEX('Stats base'!E$5:E$8,MATCH($C208,'Stats base'!$A$5:$A$8,0))*INDEX('Stats base'!E$12:E$14,MATCH($E208,'Stats base'!$A$12:$A$14,0))*INDEX('Stats base'!E$18:E$22,MATCH($J208,'Stats base'!$A$18:$A$22,0))*IFERROR(INDEX(Variación!F$3:F$228,MATCH($G208,Variación!$A$3:$A$228,0)),1),1)</f>
        <v>3.8</v>
      </c>
      <c r="O208" s="19">
        <f>ROUND(INDEX('Stats base'!F$5:F$8,MATCH($C208,'Stats base'!$A$5:$A$8,0))*INDEX('Stats base'!F$12:F$14,MATCH($E208,'Stats base'!$A$12:$A$14,0))*INDEX('Stats base'!F$18:F$22,MATCH($J208,'Stats base'!$A$18:$A$22,0))*IFERROR(INDEX(Variación!G$3:G$228,MATCH($G208,Variación!$A$3:$A$228,0)),1),0)</f>
        <v>98</v>
      </c>
      <c r="P208" s="21">
        <f>MIN('Stats base'!$G$30,ROUND(INDEX('Stats base'!G$5:G$8,MATCH($C208,'Stats base'!$A$5:$A$8,0))*INDEX('Stats base'!G$12:G$14,MATCH($E208,'Stats base'!$A$12:$A$14,0))*INDEX('Stats base'!G$18:G$22,MATCH($J208,'Stats base'!$A$18:$A$22,0))*IFERROR(INDEX(Variación!H$3:H$228,MATCH($G208,Variación!$A$3:$A$228,0)),1),3))</f>
        <v>2.8000000000000001E-2</v>
      </c>
    </row>
    <row r="209" spans="1:16" ht="34.5" customHeight="1" x14ac:dyDescent="0.25">
      <c r="A209" s="15" t="s">
        <v>677</v>
      </c>
      <c r="B209" s="15" t="s">
        <v>678</v>
      </c>
      <c r="C209" s="16" t="s">
        <v>28</v>
      </c>
      <c r="D209" s="17" t="s">
        <v>29</v>
      </c>
      <c r="E209" s="16" t="s">
        <v>30</v>
      </c>
      <c r="F209" s="16" t="s">
        <v>38</v>
      </c>
      <c r="G209" s="18" t="s">
        <v>679</v>
      </c>
      <c r="H209" s="18"/>
      <c r="I209" s="18" t="s">
        <v>646</v>
      </c>
      <c r="J209" s="18" t="s">
        <v>85</v>
      </c>
      <c r="K209" s="19">
        <f>ROUND(INDEX('Stats base'!B$5:B$8,MATCH($C209,'Stats base'!$A$5:$A$8,0))*INDEX('Stats base'!B$12:B$14,MATCH($E209,'Stats base'!$A$12:$A$14,0))*INDEX('Stats base'!B$18:B$22,MATCH($J209,'Stats base'!$A$18:$A$22,0))*IFERROR(INDEX(Variación!C$3:C$228,MATCH($G209,Variación!$A$3:$A$228,0)),1),0)</f>
        <v>120</v>
      </c>
      <c r="L209" s="20">
        <f>ROUND(INDEX('Stats base'!C$5:C$8,MATCH($C209,'Stats base'!$A$5:$A$8,0))*INDEX('Stats base'!C$12:C$14,MATCH($E209,'Stats base'!$A$12:$A$14,0))*INDEX('Stats base'!C$18:C$22,MATCH($J209,'Stats base'!$A$18:$A$22,0))*IFERROR(INDEX(Variación!D$3:D$228,MATCH($G209,Variación!$A$3:$A$228,0)),1),1)</f>
        <v>8.6999999999999993</v>
      </c>
      <c r="M209" s="20">
        <f>ROUND(INDEX('Stats base'!D$5:D$8,MATCH($C209,'Stats base'!$A$5:$A$8,0))*INDEX('Stats base'!D$12:D$14,MATCH($E209,'Stats base'!$A$12:$A$14,0))*INDEX('Stats base'!D$18:D$22,MATCH($J209,'Stats base'!$A$18:$A$22,0))*IFERROR(INDEX(Variación!E$3:E$228,MATCH($G209,Variación!$A$3:$A$228,0)),1),1)</f>
        <v>19.600000000000001</v>
      </c>
      <c r="N209" s="20">
        <f>ROUND(INDEX('Stats base'!E$5:E$8,MATCH($C209,'Stats base'!$A$5:$A$8,0))*INDEX('Stats base'!E$12:E$14,MATCH($E209,'Stats base'!$A$12:$A$14,0))*INDEX('Stats base'!E$18:E$22,MATCH($J209,'Stats base'!$A$18:$A$22,0))*IFERROR(INDEX(Variación!F$3:F$228,MATCH($G209,Variación!$A$3:$A$228,0)),1),1)</f>
        <v>7.1</v>
      </c>
      <c r="O209" s="19">
        <f>ROUND(INDEX('Stats base'!F$5:F$8,MATCH($C209,'Stats base'!$A$5:$A$8,0))*INDEX('Stats base'!F$12:F$14,MATCH($E209,'Stats base'!$A$12:$A$14,0))*INDEX('Stats base'!F$18:F$22,MATCH($J209,'Stats base'!$A$18:$A$22,0))*IFERROR(INDEX(Variación!G$3:G$228,MATCH($G209,Variación!$A$3:$A$228,0)),1),0)</f>
        <v>81</v>
      </c>
      <c r="P209" s="21">
        <f>MIN('Stats base'!$G$30,ROUND(INDEX('Stats base'!G$5:G$8,MATCH($C209,'Stats base'!$A$5:$A$8,0))*INDEX('Stats base'!G$12:G$14,MATCH($E209,'Stats base'!$A$12:$A$14,0))*INDEX('Stats base'!G$18:G$22,MATCH($J209,'Stats base'!$A$18:$A$22,0))*IFERROR(INDEX(Variación!H$3:H$228,MATCH($G209,Variación!$A$3:$A$228,0)),1),3))</f>
        <v>7.0000000000000001E-3</v>
      </c>
    </row>
    <row r="210" spans="1:16" ht="34.5" customHeight="1" x14ac:dyDescent="0.25">
      <c r="A210" s="15" t="s">
        <v>680</v>
      </c>
      <c r="B210" s="15" t="s">
        <v>681</v>
      </c>
      <c r="C210" s="16" t="s">
        <v>58</v>
      </c>
      <c r="D210" s="17" t="s">
        <v>29</v>
      </c>
      <c r="E210" s="16" t="s">
        <v>42</v>
      </c>
      <c r="F210" s="16" t="s">
        <v>54</v>
      </c>
      <c r="G210" s="18" t="s">
        <v>682</v>
      </c>
      <c r="H210" s="18"/>
      <c r="I210" s="18" t="s">
        <v>646</v>
      </c>
      <c r="J210" s="18" t="s">
        <v>85</v>
      </c>
      <c r="K210" s="19">
        <f>ROUND(INDEX('Stats base'!B$5:B$8,MATCH($C210,'Stats base'!$A$5:$A$8,0))*INDEX('Stats base'!B$12:B$14,MATCH($E210,'Stats base'!$A$12:$A$14,0))*INDEX('Stats base'!B$18:B$22,MATCH($J210,'Stats base'!$A$18:$A$22,0))*IFERROR(INDEX(Variación!C$3:C$228,MATCH($G210,Variación!$A$3:$A$228,0)),1),0)</f>
        <v>94</v>
      </c>
      <c r="L210" s="20">
        <f>ROUND(INDEX('Stats base'!C$5:C$8,MATCH($C210,'Stats base'!$A$5:$A$8,0))*INDEX('Stats base'!C$12:C$14,MATCH($E210,'Stats base'!$A$12:$A$14,0))*INDEX('Stats base'!C$18:C$22,MATCH($J210,'Stats base'!$A$18:$A$22,0))*IFERROR(INDEX(Variación!D$3:D$228,MATCH($G210,Variación!$A$3:$A$228,0)),1),1)</f>
        <v>10.3</v>
      </c>
      <c r="M210" s="20">
        <f>ROUND(INDEX('Stats base'!D$5:D$8,MATCH($C210,'Stats base'!$A$5:$A$8,0))*INDEX('Stats base'!D$12:D$14,MATCH($E210,'Stats base'!$A$12:$A$14,0))*INDEX('Stats base'!D$18:D$22,MATCH($J210,'Stats base'!$A$18:$A$22,0))*IFERROR(INDEX(Variación!E$3:E$228,MATCH($G210,Variación!$A$3:$A$228,0)),1),1)</f>
        <v>18.600000000000001</v>
      </c>
      <c r="N210" s="20">
        <f>ROUND(INDEX('Stats base'!E$5:E$8,MATCH($C210,'Stats base'!$A$5:$A$8,0))*INDEX('Stats base'!E$12:E$14,MATCH($E210,'Stats base'!$A$12:$A$14,0))*INDEX('Stats base'!E$18:E$22,MATCH($J210,'Stats base'!$A$18:$A$22,0))*IFERROR(INDEX(Variación!F$3:F$228,MATCH($G210,Variación!$A$3:$A$228,0)),1),1)</f>
        <v>3.9</v>
      </c>
      <c r="O210" s="19">
        <f>ROUND(INDEX('Stats base'!F$5:F$8,MATCH($C210,'Stats base'!$A$5:$A$8,0))*INDEX('Stats base'!F$12:F$14,MATCH($E210,'Stats base'!$A$12:$A$14,0))*INDEX('Stats base'!F$18:F$22,MATCH($J210,'Stats base'!$A$18:$A$22,0))*IFERROR(INDEX(Variación!G$3:G$228,MATCH($G210,Variación!$A$3:$A$228,0)),1),0)</f>
        <v>94</v>
      </c>
      <c r="P210" s="21">
        <f>MIN('Stats base'!$G$30,ROUND(INDEX('Stats base'!G$5:G$8,MATCH($C210,'Stats base'!$A$5:$A$8,0))*INDEX('Stats base'!G$12:G$14,MATCH($E210,'Stats base'!$A$12:$A$14,0))*INDEX('Stats base'!G$18:G$22,MATCH($J210,'Stats base'!$A$18:$A$22,0))*IFERROR(INDEX(Variación!H$3:H$228,MATCH($G210,Variación!$A$3:$A$228,0)),1),3))</f>
        <v>0.03</v>
      </c>
    </row>
    <row r="211" spans="1:16" ht="34.5" customHeight="1" x14ac:dyDescent="0.25">
      <c r="A211" s="15" t="s">
        <v>683</v>
      </c>
      <c r="B211" s="15" t="s">
        <v>684</v>
      </c>
      <c r="C211" s="16" t="s">
        <v>37</v>
      </c>
      <c r="D211" s="17" t="s">
        <v>29</v>
      </c>
      <c r="E211" s="16" t="s">
        <v>42</v>
      </c>
      <c r="F211" s="16" t="s">
        <v>43</v>
      </c>
      <c r="G211" s="18" t="s">
        <v>685</v>
      </c>
      <c r="H211" s="18"/>
      <c r="I211" s="18" t="s">
        <v>646</v>
      </c>
      <c r="J211" s="18" t="s">
        <v>85</v>
      </c>
      <c r="K211" s="19">
        <f>ROUND(INDEX('Stats base'!B$5:B$8,MATCH($C211,'Stats base'!$A$5:$A$8,0))*INDEX('Stats base'!B$12:B$14,MATCH($E211,'Stats base'!$A$12:$A$14,0))*INDEX('Stats base'!B$18:B$22,MATCH($J211,'Stats base'!$A$18:$A$22,0))*IFERROR(INDEX(Variación!C$3:C$228,MATCH($G211,Variación!$A$3:$A$228,0)),1),0)</f>
        <v>144</v>
      </c>
      <c r="L211" s="20">
        <f>ROUND(INDEX('Stats base'!C$5:C$8,MATCH($C211,'Stats base'!$A$5:$A$8,0))*INDEX('Stats base'!C$12:C$14,MATCH($E211,'Stats base'!$A$12:$A$14,0))*INDEX('Stats base'!C$18:C$22,MATCH($J211,'Stats base'!$A$18:$A$22,0))*IFERROR(INDEX(Variación!D$3:D$228,MATCH($G211,Variación!$A$3:$A$228,0)),1),1)</f>
        <v>7.4</v>
      </c>
      <c r="M211" s="20">
        <f>ROUND(INDEX('Stats base'!D$5:D$8,MATCH($C211,'Stats base'!$A$5:$A$8,0))*INDEX('Stats base'!D$12:D$14,MATCH($E211,'Stats base'!$A$12:$A$14,0))*INDEX('Stats base'!D$18:D$22,MATCH($J211,'Stats base'!$A$18:$A$22,0))*IFERROR(INDEX(Variación!E$3:E$228,MATCH($G211,Variación!$A$3:$A$228,0)),1),1)</f>
        <v>13.1</v>
      </c>
      <c r="N211" s="20">
        <f>ROUND(INDEX('Stats base'!E$5:E$8,MATCH($C211,'Stats base'!$A$5:$A$8,0))*INDEX('Stats base'!E$12:E$14,MATCH($E211,'Stats base'!$A$12:$A$14,0))*INDEX('Stats base'!E$18:E$22,MATCH($J211,'Stats base'!$A$18:$A$22,0))*IFERROR(INDEX(Variación!F$3:F$228,MATCH($G211,Variación!$A$3:$A$228,0)),1),1)</f>
        <v>9</v>
      </c>
      <c r="O211" s="19">
        <f>ROUND(INDEX('Stats base'!F$5:F$8,MATCH($C211,'Stats base'!$A$5:$A$8,0))*INDEX('Stats base'!F$12:F$14,MATCH($E211,'Stats base'!$A$12:$A$14,0))*INDEX('Stats base'!F$18:F$22,MATCH($J211,'Stats base'!$A$18:$A$22,0))*IFERROR(INDEX(Variación!G$3:G$228,MATCH($G211,Variación!$A$3:$A$228,0)),1),0)</f>
        <v>86</v>
      </c>
      <c r="P211" s="21">
        <f>MIN('Stats base'!$G$30,ROUND(INDEX('Stats base'!G$5:G$8,MATCH($C211,'Stats base'!$A$5:$A$8,0))*INDEX('Stats base'!G$12:G$14,MATCH($E211,'Stats base'!$A$12:$A$14,0))*INDEX('Stats base'!G$18:G$22,MATCH($J211,'Stats base'!$A$18:$A$22,0))*IFERROR(INDEX(Variación!H$3:H$228,MATCH($G211,Variación!$A$3:$A$228,0)),1),3))</f>
        <v>1.0999999999999999E-2</v>
      </c>
    </row>
    <row r="212" spans="1:16" ht="34.5" customHeight="1" x14ac:dyDescent="0.25">
      <c r="A212" s="15" t="s">
        <v>686</v>
      </c>
      <c r="B212" s="15" t="s">
        <v>687</v>
      </c>
      <c r="C212" s="16" t="s">
        <v>37</v>
      </c>
      <c r="D212" s="17" t="s">
        <v>29</v>
      </c>
      <c r="E212" s="16" t="s">
        <v>30</v>
      </c>
      <c r="F212" s="16" t="s">
        <v>38</v>
      </c>
      <c r="G212" s="18" t="s">
        <v>688</v>
      </c>
      <c r="H212" s="18"/>
      <c r="I212" s="18" t="s">
        <v>646</v>
      </c>
      <c r="J212" s="18" t="s">
        <v>85</v>
      </c>
      <c r="K212" s="19">
        <f>ROUND(INDEX('Stats base'!B$5:B$8,MATCH($C212,'Stats base'!$A$5:$A$8,0))*INDEX('Stats base'!B$12:B$14,MATCH($E212,'Stats base'!$A$12:$A$14,0))*INDEX('Stats base'!B$18:B$22,MATCH($J212,'Stats base'!$A$18:$A$22,0))*IFERROR(INDEX(Variación!C$3:C$228,MATCH($G212,Variación!$A$3:$A$228,0)),1),0)</f>
        <v>139</v>
      </c>
      <c r="L212" s="20">
        <f>ROUND(INDEX('Stats base'!C$5:C$8,MATCH($C212,'Stats base'!$A$5:$A$8,0))*INDEX('Stats base'!C$12:C$14,MATCH($E212,'Stats base'!$A$12:$A$14,0))*INDEX('Stats base'!C$18:C$22,MATCH($J212,'Stats base'!$A$18:$A$22,0))*IFERROR(INDEX(Variación!D$3:D$228,MATCH($G212,Variación!$A$3:$A$228,0)),1),1)</f>
        <v>6.8</v>
      </c>
      <c r="M212" s="20">
        <f>ROUND(INDEX('Stats base'!D$5:D$8,MATCH($C212,'Stats base'!$A$5:$A$8,0))*INDEX('Stats base'!D$12:D$14,MATCH($E212,'Stats base'!$A$12:$A$14,0))*INDEX('Stats base'!D$18:D$22,MATCH($J212,'Stats base'!$A$18:$A$22,0))*IFERROR(INDEX(Variación!E$3:E$228,MATCH($G212,Variación!$A$3:$A$228,0)),1),1)</f>
        <v>12</v>
      </c>
      <c r="N212" s="20">
        <f>ROUND(INDEX('Stats base'!E$5:E$8,MATCH($C212,'Stats base'!$A$5:$A$8,0))*INDEX('Stats base'!E$12:E$14,MATCH($E212,'Stats base'!$A$12:$A$14,0))*INDEX('Stats base'!E$18:E$22,MATCH($J212,'Stats base'!$A$18:$A$22,0))*IFERROR(INDEX(Variación!F$3:F$228,MATCH($G212,Variación!$A$3:$A$228,0)),1),1)</f>
        <v>9.1999999999999993</v>
      </c>
      <c r="O212" s="19">
        <f>ROUND(INDEX('Stats base'!F$5:F$8,MATCH($C212,'Stats base'!$A$5:$A$8,0))*INDEX('Stats base'!F$12:F$14,MATCH($E212,'Stats base'!$A$12:$A$14,0))*INDEX('Stats base'!F$18:F$22,MATCH($J212,'Stats base'!$A$18:$A$22,0))*IFERROR(INDEX(Variación!G$3:G$228,MATCH($G212,Variación!$A$3:$A$228,0)),1),0)</f>
        <v>86</v>
      </c>
      <c r="P212" s="21">
        <f>MIN('Stats base'!$G$30,ROUND(INDEX('Stats base'!G$5:G$8,MATCH($C212,'Stats base'!$A$5:$A$8,0))*INDEX('Stats base'!G$12:G$14,MATCH($E212,'Stats base'!$A$12:$A$14,0))*INDEX('Stats base'!G$18:G$22,MATCH($J212,'Stats base'!$A$18:$A$22,0))*IFERROR(INDEX(Variación!H$3:H$228,MATCH($G212,Variación!$A$3:$A$228,0)),1),3))</f>
        <v>1.0999999999999999E-2</v>
      </c>
    </row>
    <row r="213" spans="1:16" ht="34.5" customHeight="1" x14ac:dyDescent="0.25">
      <c r="A213" s="15" t="s">
        <v>689</v>
      </c>
      <c r="B213" s="15" t="s">
        <v>690</v>
      </c>
      <c r="C213" s="16" t="s">
        <v>37</v>
      </c>
      <c r="D213" s="17" t="s">
        <v>29</v>
      </c>
      <c r="E213" s="16" t="s">
        <v>53</v>
      </c>
      <c r="F213" s="16" t="s">
        <v>38</v>
      </c>
      <c r="G213" s="18" t="s">
        <v>691</v>
      </c>
      <c r="H213" s="18"/>
      <c r="I213" s="18" t="s">
        <v>646</v>
      </c>
      <c r="J213" s="18" t="s">
        <v>85</v>
      </c>
      <c r="K213" s="19">
        <f>ROUND(INDEX('Stats base'!B$5:B$8,MATCH($C213,'Stats base'!$A$5:$A$8,0))*INDEX('Stats base'!B$12:B$14,MATCH($E213,'Stats base'!$A$12:$A$14,0))*INDEX('Stats base'!B$18:B$22,MATCH($J213,'Stats base'!$A$18:$A$22,0))*IFERROR(INDEX(Variación!C$3:C$228,MATCH($G213,Variación!$A$3:$A$228,0)),1),0)</f>
        <v>134</v>
      </c>
      <c r="L213" s="20">
        <f>ROUND(INDEX('Stats base'!C$5:C$8,MATCH($C213,'Stats base'!$A$5:$A$8,0))*INDEX('Stats base'!C$12:C$14,MATCH($E213,'Stats base'!$A$12:$A$14,0))*INDEX('Stats base'!C$18:C$22,MATCH($J213,'Stats base'!$A$18:$A$22,0))*IFERROR(INDEX(Variación!D$3:D$228,MATCH($G213,Variación!$A$3:$A$228,0)),1),1)</f>
        <v>6.5</v>
      </c>
      <c r="M213" s="20">
        <f>ROUND(INDEX('Stats base'!D$5:D$8,MATCH($C213,'Stats base'!$A$5:$A$8,0))*INDEX('Stats base'!D$12:D$14,MATCH($E213,'Stats base'!$A$12:$A$14,0))*INDEX('Stats base'!D$18:D$22,MATCH($J213,'Stats base'!$A$18:$A$22,0))*IFERROR(INDEX(Variación!E$3:E$228,MATCH($G213,Variación!$A$3:$A$228,0)),1),1)</f>
        <v>10.9</v>
      </c>
      <c r="N213" s="20">
        <f>ROUND(INDEX('Stats base'!E$5:E$8,MATCH($C213,'Stats base'!$A$5:$A$8,0))*INDEX('Stats base'!E$12:E$14,MATCH($E213,'Stats base'!$A$12:$A$14,0))*INDEX('Stats base'!E$18:E$22,MATCH($J213,'Stats base'!$A$18:$A$22,0))*IFERROR(INDEX(Variación!F$3:F$228,MATCH($G213,Variación!$A$3:$A$228,0)),1),1)</f>
        <v>8.3000000000000007</v>
      </c>
      <c r="O213" s="19">
        <f>ROUND(INDEX('Stats base'!F$5:F$8,MATCH($C213,'Stats base'!$A$5:$A$8,0))*INDEX('Stats base'!F$12:F$14,MATCH($E213,'Stats base'!$A$12:$A$14,0))*INDEX('Stats base'!F$18:F$22,MATCH($J213,'Stats base'!$A$18:$A$22,0))*IFERROR(INDEX(Variación!G$3:G$228,MATCH($G213,Variación!$A$3:$A$228,0)),1),0)</f>
        <v>92</v>
      </c>
      <c r="P213" s="21">
        <f>MIN('Stats base'!$G$30,ROUND(INDEX('Stats base'!G$5:G$8,MATCH($C213,'Stats base'!$A$5:$A$8,0))*INDEX('Stats base'!G$12:G$14,MATCH($E213,'Stats base'!$A$12:$A$14,0))*INDEX('Stats base'!G$18:G$22,MATCH($J213,'Stats base'!$A$18:$A$22,0))*IFERROR(INDEX(Variación!H$3:H$228,MATCH($G213,Variación!$A$3:$A$228,0)),1),3))</f>
        <v>1.2999999999999999E-2</v>
      </c>
    </row>
    <row r="214" spans="1:16" ht="34.5" hidden="1" customHeight="1" x14ac:dyDescent="0.25">
      <c r="A214" s="15" t="s">
        <v>692</v>
      </c>
      <c r="B214" s="15" t="s">
        <v>693</v>
      </c>
      <c r="C214" s="16" t="s">
        <v>28</v>
      </c>
      <c r="D214" s="22" t="s">
        <v>82</v>
      </c>
      <c r="E214" s="16" t="s">
        <v>42</v>
      </c>
      <c r="F214" s="16" t="s">
        <v>43</v>
      </c>
      <c r="G214" s="18" t="s">
        <v>694</v>
      </c>
      <c r="H214" s="18"/>
      <c r="I214" s="18" t="s">
        <v>84</v>
      </c>
      <c r="J214" s="18" t="s">
        <v>70</v>
      </c>
      <c r="K214" s="19">
        <f>ROUND(INDEX('Stats base'!B$5:B$8,MATCH($C214,'Stats base'!$A$5:$A$8,0))*INDEX('Stats base'!B$12:B$14,MATCH($E214,'Stats base'!$A$12:$A$14,0))*INDEX('Stats base'!B$18:B$22,MATCH($J214,'Stats base'!$A$18:$A$22,0))*IFERROR(INDEX(Variación!C$3:C$228,MATCH($G214,Variación!$A$3:$A$228,0)),1),0)</f>
        <v>164</v>
      </c>
      <c r="L214" s="20">
        <f>ROUND(INDEX('Stats base'!C$5:C$8,MATCH($C214,'Stats base'!$A$5:$A$8,0))*INDEX('Stats base'!C$12:C$14,MATCH($E214,'Stats base'!$A$12:$A$14,0))*INDEX('Stats base'!C$18:C$22,MATCH($J214,'Stats base'!$A$18:$A$22,0))*IFERROR(INDEX(Variación!D$3:D$228,MATCH($G214,Variación!$A$3:$A$228,0)),1),1)</f>
        <v>9.8000000000000007</v>
      </c>
      <c r="M214" s="20">
        <f>ROUND(INDEX('Stats base'!D$5:D$8,MATCH($C214,'Stats base'!$A$5:$A$8,0))*INDEX('Stats base'!D$12:D$14,MATCH($E214,'Stats base'!$A$12:$A$14,0))*INDEX('Stats base'!D$18:D$22,MATCH($J214,'Stats base'!$A$18:$A$22,0))*IFERROR(INDEX(Variación!E$3:E$228,MATCH($G214,Variación!$A$3:$A$228,0)),1),1)</f>
        <v>21.7</v>
      </c>
      <c r="N214" s="20">
        <f>ROUND(INDEX('Stats base'!E$5:E$8,MATCH($C214,'Stats base'!$A$5:$A$8,0))*INDEX('Stats base'!E$12:E$14,MATCH($E214,'Stats base'!$A$12:$A$14,0))*INDEX('Stats base'!E$18:E$22,MATCH($J214,'Stats base'!$A$18:$A$22,0))*IFERROR(INDEX(Variación!F$3:F$228,MATCH($G214,Variación!$A$3:$A$228,0)),1),1)</f>
        <v>10</v>
      </c>
      <c r="O214" s="19">
        <f>ROUND(INDEX('Stats base'!F$5:F$8,MATCH($C214,'Stats base'!$A$5:$A$8,0))*INDEX('Stats base'!F$12:F$14,MATCH($E214,'Stats base'!$A$12:$A$14,0))*INDEX('Stats base'!F$18:F$22,MATCH($J214,'Stats base'!$A$18:$A$22,0))*IFERROR(INDEX(Variación!G$3:G$228,MATCH($G214,Variación!$A$3:$A$228,0)),1),0)</f>
        <v>83</v>
      </c>
      <c r="P214" s="21">
        <f>MIN('Stats base'!$G$30,ROUND(INDEX('Stats base'!G$5:G$8,MATCH($C214,'Stats base'!$A$5:$A$8,0))*INDEX('Stats base'!G$12:G$14,MATCH($E214,'Stats base'!$A$12:$A$14,0))*INDEX('Stats base'!G$18:G$22,MATCH($J214,'Stats base'!$A$18:$A$22,0))*IFERROR(INDEX(Variación!H$3:H$228,MATCH($G214,Variación!$A$3:$A$228,0)),1),3))</f>
        <v>1.2E-2</v>
      </c>
    </row>
    <row r="215" spans="1:16" ht="34.5" customHeight="1" x14ac:dyDescent="0.25">
      <c r="A215" s="15" t="s">
        <v>695</v>
      </c>
      <c r="B215" s="15" t="s">
        <v>696</v>
      </c>
      <c r="C215" s="16" t="s">
        <v>37</v>
      </c>
      <c r="D215" s="22" t="s">
        <v>82</v>
      </c>
      <c r="E215" s="16" t="s">
        <v>53</v>
      </c>
      <c r="F215" s="16" t="s">
        <v>48</v>
      </c>
      <c r="G215" s="18" t="s">
        <v>697</v>
      </c>
      <c r="H215" s="18"/>
      <c r="I215" s="18" t="s">
        <v>84</v>
      </c>
      <c r="J215" s="18" t="s">
        <v>85</v>
      </c>
      <c r="K215" s="19">
        <f>ROUND(INDEX('Stats base'!B$5:B$8,MATCH($C215,'Stats base'!$A$5:$A$8,0))*INDEX('Stats base'!B$12:B$14,MATCH($E215,'Stats base'!$A$12:$A$14,0))*INDEX('Stats base'!B$18:B$22,MATCH($J215,'Stats base'!$A$18:$A$22,0))*IFERROR(INDEX(Variación!C$3:C$228,MATCH($G215,Variación!$A$3:$A$228,0)),1),0)</f>
        <v>127</v>
      </c>
      <c r="L215" s="20">
        <f>ROUND(INDEX('Stats base'!C$5:C$8,MATCH($C215,'Stats base'!$A$5:$A$8,0))*INDEX('Stats base'!C$12:C$14,MATCH($E215,'Stats base'!$A$12:$A$14,0))*INDEX('Stats base'!C$18:C$22,MATCH($J215,'Stats base'!$A$18:$A$22,0))*IFERROR(INDEX(Variación!D$3:D$228,MATCH($G215,Variación!$A$3:$A$228,0)),1),1)</f>
        <v>7.5</v>
      </c>
      <c r="M215" s="20">
        <f>ROUND(INDEX('Stats base'!D$5:D$8,MATCH($C215,'Stats base'!$A$5:$A$8,0))*INDEX('Stats base'!D$12:D$14,MATCH($E215,'Stats base'!$A$12:$A$14,0))*INDEX('Stats base'!D$18:D$22,MATCH($J215,'Stats base'!$A$18:$A$22,0))*IFERROR(INDEX(Variación!E$3:E$228,MATCH($G215,Variación!$A$3:$A$228,0)),1),1)</f>
        <v>11.9</v>
      </c>
      <c r="N215" s="20">
        <f>ROUND(INDEX('Stats base'!E$5:E$8,MATCH($C215,'Stats base'!$A$5:$A$8,0))*INDEX('Stats base'!E$12:E$14,MATCH($E215,'Stats base'!$A$12:$A$14,0))*INDEX('Stats base'!E$18:E$22,MATCH($J215,'Stats base'!$A$18:$A$22,0))*IFERROR(INDEX(Variación!F$3:F$228,MATCH($G215,Variación!$A$3:$A$228,0)),1),1)</f>
        <v>7.9</v>
      </c>
      <c r="O215" s="19">
        <f>ROUND(INDEX('Stats base'!F$5:F$8,MATCH($C215,'Stats base'!$A$5:$A$8,0))*INDEX('Stats base'!F$12:F$14,MATCH($E215,'Stats base'!$A$12:$A$14,0))*INDEX('Stats base'!F$18:F$22,MATCH($J215,'Stats base'!$A$18:$A$22,0))*IFERROR(INDEX(Variación!G$3:G$228,MATCH($G215,Variación!$A$3:$A$228,0)),1),0)</f>
        <v>95</v>
      </c>
      <c r="P215" s="21">
        <f>MIN('Stats base'!$G$30,ROUND(INDEX('Stats base'!G$5:G$8,MATCH($C215,'Stats base'!$A$5:$A$8,0))*INDEX('Stats base'!G$12:G$14,MATCH($E215,'Stats base'!$A$12:$A$14,0))*INDEX('Stats base'!G$18:G$22,MATCH($J215,'Stats base'!$A$18:$A$22,0))*IFERROR(INDEX(Variación!H$3:H$228,MATCH($G215,Variación!$A$3:$A$228,0)),1),3))</f>
        <v>1.4E-2</v>
      </c>
    </row>
    <row r="216" spans="1:16" ht="34.5" customHeight="1" x14ac:dyDescent="0.25">
      <c r="A216" s="15" t="s">
        <v>698</v>
      </c>
      <c r="B216" s="15" t="s">
        <v>699</v>
      </c>
      <c r="C216" s="16" t="s">
        <v>37</v>
      </c>
      <c r="D216" s="22" t="s">
        <v>82</v>
      </c>
      <c r="E216" s="16" t="s">
        <v>30</v>
      </c>
      <c r="F216" s="16" t="s">
        <v>38</v>
      </c>
      <c r="G216" s="18" t="s">
        <v>700</v>
      </c>
      <c r="H216" s="18"/>
      <c r="I216" s="18" t="s">
        <v>84</v>
      </c>
      <c r="J216" s="18" t="s">
        <v>85</v>
      </c>
      <c r="K216" s="19">
        <f>ROUND(INDEX('Stats base'!B$5:B$8,MATCH($C216,'Stats base'!$A$5:$A$8,0))*INDEX('Stats base'!B$12:B$14,MATCH($E216,'Stats base'!$A$12:$A$14,0))*INDEX('Stats base'!B$18:B$22,MATCH($J216,'Stats base'!$A$18:$A$22,0))*IFERROR(INDEX(Variación!C$3:C$228,MATCH($G216,Variación!$A$3:$A$228,0)),1),0)</f>
        <v>126</v>
      </c>
      <c r="L216" s="20">
        <f>ROUND(INDEX('Stats base'!C$5:C$8,MATCH($C216,'Stats base'!$A$5:$A$8,0))*INDEX('Stats base'!C$12:C$14,MATCH($E216,'Stats base'!$A$12:$A$14,0))*INDEX('Stats base'!C$18:C$22,MATCH($J216,'Stats base'!$A$18:$A$22,0))*IFERROR(INDEX(Variación!D$3:D$228,MATCH($G216,Variación!$A$3:$A$228,0)),1),1)</f>
        <v>6.9</v>
      </c>
      <c r="M216" s="20">
        <f>ROUND(INDEX('Stats base'!D$5:D$8,MATCH($C216,'Stats base'!$A$5:$A$8,0))*INDEX('Stats base'!D$12:D$14,MATCH($E216,'Stats base'!$A$12:$A$14,0))*INDEX('Stats base'!D$18:D$22,MATCH($J216,'Stats base'!$A$18:$A$22,0))*IFERROR(INDEX(Variación!E$3:E$228,MATCH($G216,Variación!$A$3:$A$228,0)),1),1)</f>
        <v>11.8</v>
      </c>
      <c r="N216" s="20">
        <f>ROUND(INDEX('Stats base'!E$5:E$8,MATCH($C216,'Stats base'!$A$5:$A$8,0))*INDEX('Stats base'!E$12:E$14,MATCH($E216,'Stats base'!$A$12:$A$14,0))*INDEX('Stats base'!E$18:E$22,MATCH($J216,'Stats base'!$A$18:$A$22,0))*IFERROR(INDEX(Variación!F$3:F$228,MATCH($G216,Variación!$A$3:$A$228,0)),1),1)</f>
        <v>7.8</v>
      </c>
      <c r="O216" s="19">
        <f>ROUND(INDEX('Stats base'!F$5:F$8,MATCH($C216,'Stats base'!$A$5:$A$8,0))*INDEX('Stats base'!F$12:F$14,MATCH($E216,'Stats base'!$A$12:$A$14,0))*INDEX('Stats base'!F$18:F$22,MATCH($J216,'Stats base'!$A$18:$A$22,0))*IFERROR(INDEX(Variación!G$3:G$228,MATCH($G216,Variación!$A$3:$A$228,0)),1),0)</f>
        <v>90</v>
      </c>
      <c r="P216" s="21">
        <f>MIN('Stats base'!$G$30,ROUND(INDEX('Stats base'!G$5:G$8,MATCH($C216,'Stats base'!$A$5:$A$8,0))*INDEX('Stats base'!G$12:G$14,MATCH($E216,'Stats base'!$A$12:$A$14,0))*INDEX('Stats base'!G$18:G$22,MATCH($J216,'Stats base'!$A$18:$A$22,0))*IFERROR(INDEX(Variación!H$3:H$228,MATCH($G216,Variación!$A$3:$A$228,0)),1),3))</f>
        <v>1.2E-2</v>
      </c>
    </row>
    <row r="217" spans="1:16" ht="34.5" customHeight="1" x14ac:dyDescent="0.25">
      <c r="A217" s="15" t="s">
        <v>701</v>
      </c>
      <c r="B217" s="15" t="s">
        <v>702</v>
      </c>
      <c r="C217" s="16" t="s">
        <v>37</v>
      </c>
      <c r="D217" s="17" t="s">
        <v>29</v>
      </c>
      <c r="E217" s="16" t="s">
        <v>42</v>
      </c>
      <c r="F217" s="16" t="s">
        <v>54</v>
      </c>
      <c r="G217" s="18" t="s">
        <v>703</v>
      </c>
      <c r="H217" s="18"/>
      <c r="I217" s="18" t="s">
        <v>84</v>
      </c>
      <c r="J217" s="18" t="s">
        <v>85</v>
      </c>
      <c r="K217" s="19">
        <f>ROUND(INDEX('Stats base'!B$5:B$8,MATCH($C217,'Stats base'!$A$5:$A$8,0))*INDEX('Stats base'!B$12:B$14,MATCH($E217,'Stats base'!$A$12:$A$14,0))*INDEX('Stats base'!B$18:B$22,MATCH($J217,'Stats base'!$A$18:$A$22,0))*IFERROR(INDEX(Variación!C$3:C$228,MATCH($G217,Variación!$A$3:$A$228,0)),1),0)</f>
        <v>138</v>
      </c>
      <c r="L217" s="20">
        <f>ROUND(INDEX('Stats base'!C$5:C$8,MATCH($C217,'Stats base'!$A$5:$A$8,0))*INDEX('Stats base'!C$12:C$14,MATCH($E217,'Stats base'!$A$12:$A$14,0))*INDEX('Stats base'!C$18:C$22,MATCH($J217,'Stats base'!$A$18:$A$22,0))*IFERROR(INDEX(Variación!D$3:D$228,MATCH($G217,Variación!$A$3:$A$228,0)),1),1)</f>
        <v>8</v>
      </c>
      <c r="M217" s="20">
        <f>ROUND(INDEX('Stats base'!D$5:D$8,MATCH($C217,'Stats base'!$A$5:$A$8,0))*INDEX('Stats base'!D$12:D$14,MATCH($E217,'Stats base'!$A$12:$A$14,0))*INDEX('Stats base'!D$18:D$22,MATCH($J217,'Stats base'!$A$18:$A$22,0))*IFERROR(INDEX(Variación!E$3:E$228,MATCH($G217,Variación!$A$3:$A$228,0)),1),1)</f>
        <v>13.2</v>
      </c>
      <c r="N217" s="20">
        <f>ROUND(INDEX('Stats base'!E$5:E$8,MATCH($C217,'Stats base'!$A$5:$A$8,0))*INDEX('Stats base'!E$12:E$14,MATCH($E217,'Stats base'!$A$12:$A$14,0))*INDEX('Stats base'!E$18:E$22,MATCH($J217,'Stats base'!$A$18:$A$22,0))*IFERROR(INDEX(Variación!F$3:F$228,MATCH($G217,Variación!$A$3:$A$228,0)),1),1)</f>
        <v>8.6999999999999993</v>
      </c>
      <c r="O217" s="19">
        <f>ROUND(INDEX('Stats base'!F$5:F$8,MATCH($C217,'Stats base'!$A$5:$A$8,0))*INDEX('Stats base'!F$12:F$14,MATCH($E217,'Stats base'!$A$12:$A$14,0))*INDEX('Stats base'!F$18:F$22,MATCH($J217,'Stats base'!$A$18:$A$22,0))*IFERROR(INDEX(Variación!G$3:G$228,MATCH($G217,Variación!$A$3:$A$228,0)),1),0)</f>
        <v>80</v>
      </c>
      <c r="P217" s="21">
        <f>MIN('Stats base'!$G$30,ROUND(INDEX('Stats base'!G$5:G$8,MATCH($C217,'Stats base'!$A$5:$A$8,0))*INDEX('Stats base'!G$12:G$14,MATCH($E217,'Stats base'!$A$12:$A$14,0))*INDEX('Stats base'!G$18:G$22,MATCH($J217,'Stats base'!$A$18:$A$22,0))*IFERROR(INDEX(Variación!H$3:H$228,MATCH($G217,Variación!$A$3:$A$228,0)),1),3))</f>
        <v>8.9999999999999993E-3</v>
      </c>
    </row>
    <row r="218" spans="1:16" ht="34.5" customHeight="1" x14ac:dyDescent="0.25">
      <c r="A218" s="15" t="s">
        <v>704</v>
      </c>
      <c r="B218" s="15" t="s">
        <v>705</v>
      </c>
      <c r="C218" s="16" t="s">
        <v>37</v>
      </c>
      <c r="D218" s="17" t="s">
        <v>29</v>
      </c>
      <c r="E218" s="16" t="s">
        <v>42</v>
      </c>
      <c r="F218" s="16" t="s">
        <v>43</v>
      </c>
      <c r="G218" s="18" t="s">
        <v>706</v>
      </c>
      <c r="H218" s="18"/>
      <c r="I218" s="18" t="s">
        <v>84</v>
      </c>
      <c r="J218" s="18" t="s">
        <v>85</v>
      </c>
      <c r="K218" s="19">
        <f>ROUND(INDEX('Stats base'!B$5:B$8,MATCH($C218,'Stats base'!$A$5:$A$8,0))*INDEX('Stats base'!B$12:B$14,MATCH($E218,'Stats base'!$A$12:$A$14,0))*INDEX('Stats base'!B$18:B$22,MATCH($J218,'Stats base'!$A$18:$A$22,0))*IFERROR(INDEX(Variación!C$3:C$228,MATCH($G218,Variación!$A$3:$A$228,0)),1),0)</f>
        <v>138</v>
      </c>
      <c r="L218" s="20">
        <f>ROUND(INDEX('Stats base'!C$5:C$8,MATCH($C218,'Stats base'!$A$5:$A$8,0))*INDEX('Stats base'!C$12:C$14,MATCH($E218,'Stats base'!$A$12:$A$14,0))*INDEX('Stats base'!C$18:C$22,MATCH($J218,'Stats base'!$A$18:$A$22,0))*IFERROR(INDEX(Variación!D$3:D$228,MATCH($G218,Variación!$A$3:$A$228,0)),1),1)</f>
        <v>7.4</v>
      </c>
      <c r="M218" s="20">
        <f>ROUND(INDEX('Stats base'!D$5:D$8,MATCH($C218,'Stats base'!$A$5:$A$8,0))*INDEX('Stats base'!D$12:D$14,MATCH($E218,'Stats base'!$A$12:$A$14,0))*INDEX('Stats base'!D$18:D$22,MATCH($J218,'Stats base'!$A$18:$A$22,0))*IFERROR(INDEX(Variación!E$3:E$228,MATCH($G218,Variación!$A$3:$A$228,0)),1),1)</f>
        <v>12.3</v>
      </c>
      <c r="N218" s="20">
        <f>ROUND(INDEX('Stats base'!E$5:E$8,MATCH($C218,'Stats base'!$A$5:$A$8,0))*INDEX('Stats base'!E$12:E$14,MATCH($E218,'Stats base'!$A$12:$A$14,0))*INDEX('Stats base'!E$18:E$22,MATCH($J218,'Stats base'!$A$18:$A$22,0))*IFERROR(INDEX(Variación!F$3:F$228,MATCH($G218,Variación!$A$3:$A$228,0)),1),1)</f>
        <v>9.8000000000000007</v>
      </c>
      <c r="O218" s="19">
        <f>ROUND(INDEX('Stats base'!F$5:F$8,MATCH($C218,'Stats base'!$A$5:$A$8,0))*INDEX('Stats base'!F$12:F$14,MATCH($E218,'Stats base'!$A$12:$A$14,0))*INDEX('Stats base'!F$18:F$22,MATCH($J218,'Stats base'!$A$18:$A$22,0))*IFERROR(INDEX(Variación!G$3:G$228,MATCH($G218,Variación!$A$3:$A$228,0)),1),0)</f>
        <v>71</v>
      </c>
      <c r="P218" s="21">
        <f>MIN('Stats base'!$G$30,ROUND(INDEX('Stats base'!G$5:G$8,MATCH($C218,'Stats base'!$A$5:$A$8,0))*INDEX('Stats base'!G$12:G$14,MATCH($E218,'Stats base'!$A$12:$A$14,0))*INDEX('Stats base'!G$18:G$22,MATCH($J218,'Stats base'!$A$18:$A$22,0))*IFERROR(INDEX(Variación!H$3:H$228,MATCH($G218,Variación!$A$3:$A$228,0)),1),3))</f>
        <v>0.01</v>
      </c>
    </row>
    <row r="219" spans="1:16" ht="34.5" customHeight="1" x14ac:dyDescent="0.25">
      <c r="A219" s="15" t="s">
        <v>707</v>
      </c>
      <c r="B219" s="15" t="s">
        <v>708</v>
      </c>
      <c r="C219" s="16" t="s">
        <v>58</v>
      </c>
      <c r="D219" s="22" t="s">
        <v>82</v>
      </c>
      <c r="E219" s="16" t="s">
        <v>30</v>
      </c>
      <c r="F219" s="16" t="s">
        <v>38</v>
      </c>
      <c r="G219" s="18" t="s">
        <v>709</v>
      </c>
      <c r="H219" s="18"/>
      <c r="I219" s="18" t="s">
        <v>84</v>
      </c>
      <c r="J219" s="18" t="s">
        <v>85</v>
      </c>
      <c r="K219" s="19">
        <f>ROUND(INDEX('Stats base'!B$5:B$8,MATCH($C219,'Stats base'!$A$5:$A$8,0))*INDEX('Stats base'!B$12:B$14,MATCH($E219,'Stats base'!$A$12:$A$14,0))*INDEX('Stats base'!B$18:B$22,MATCH($J219,'Stats base'!$A$18:$A$22,0))*IFERROR(INDEX(Variación!C$3:C$228,MATCH($G219,Variación!$A$3:$A$228,0)),1),0)</f>
        <v>98</v>
      </c>
      <c r="L219" s="20">
        <f>ROUND(INDEX('Stats base'!C$5:C$8,MATCH($C219,'Stats base'!$A$5:$A$8,0))*INDEX('Stats base'!C$12:C$14,MATCH($E219,'Stats base'!$A$12:$A$14,0))*INDEX('Stats base'!C$18:C$22,MATCH($J219,'Stats base'!$A$18:$A$22,0))*IFERROR(INDEX(Variación!D$3:D$228,MATCH($G219,Variación!$A$3:$A$228,0)),1),1)</f>
        <v>9.1999999999999993</v>
      </c>
      <c r="M219" s="20">
        <f>ROUND(INDEX('Stats base'!D$5:D$8,MATCH($C219,'Stats base'!$A$5:$A$8,0))*INDEX('Stats base'!D$12:D$14,MATCH($E219,'Stats base'!$A$12:$A$14,0))*INDEX('Stats base'!D$18:D$22,MATCH($J219,'Stats base'!$A$18:$A$22,0))*IFERROR(INDEX(Variación!E$3:E$228,MATCH($G219,Variación!$A$3:$A$228,0)),1),1)</f>
        <v>15.7</v>
      </c>
      <c r="N219" s="20">
        <f>ROUND(INDEX('Stats base'!E$5:E$8,MATCH($C219,'Stats base'!$A$5:$A$8,0))*INDEX('Stats base'!E$12:E$14,MATCH($E219,'Stats base'!$A$12:$A$14,0))*INDEX('Stats base'!E$18:E$22,MATCH($J219,'Stats base'!$A$18:$A$22,0))*IFERROR(INDEX(Variación!F$3:F$228,MATCH($G219,Variación!$A$3:$A$228,0)),1),1)</f>
        <v>4.5999999999999996</v>
      </c>
      <c r="O219" s="19">
        <f>ROUND(INDEX('Stats base'!F$5:F$8,MATCH($C219,'Stats base'!$A$5:$A$8,0))*INDEX('Stats base'!F$12:F$14,MATCH($E219,'Stats base'!$A$12:$A$14,0))*INDEX('Stats base'!F$18:F$22,MATCH($J219,'Stats base'!$A$18:$A$22,0))*IFERROR(INDEX(Variación!G$3:G$228,MATCH($G219,Variación!$A$3:$A$228,0)),1),0)</f>
        <v>116</v>
      </c>
      <c r="P219" s="21">
        <f>MIN('Stats base'!$G$30,ROUND(INDEX('Stats base'!G$5:G$8,MATCH($C219,'Stats base'!$A$5:$A$8,0))*INDEX('Stats base'!G$12:G$14,MATCH($E219,'Stats base'!$A$12:$A$14,0))*INDEX('Stats base'!G$18:G$22,MATCH($J219,'Stats base'!$A$18:$A$22,0))*IFERROR(INDEX(Variación!H$3:H$228,MATCH($G219,Variación!$A$3:$A$228,0)),1),3))</f>
        <v>3.6999999999999998E-2</v>
      </c>
    </row>
    <row r="220" spans="1:16" ht="34.5" customHeight="1" x14ac:dyDescent="0.25">
      <c r="A220" s="15" t="s">
        <v>710</v>
      </c>
      <c r="B220" s="15" t="s">
        <v>711</v>
      </c>
      <c r="C220" s="16" t="s">
        <v>58</v>
      </c>
      <c r="D220" s="17" t="s">
        <v>29</v>
      </c>
      <c r="E220" s="16" t="s">
        <v>30</v>
      </c>
      <c r="F220" s="16" t="s">
        <v>48</v>
      </c>
      <c r="G220" s="18" t="s">
        <v>712</v>
      </c>
      <c r="H220" s="18"/>
      <c r="I220" s="18" t="s">
        <v>84</v>
      </c>
      <c r="J220" s="18" t="s">
        <v>85</v>
      </c>
      <c r="K220" s="19">
        <f>ROUND(INDEX('Stats base'!B$5:B$8,MATCH($C220,'Stats base'!$A$5:$A$8,0))*INDEX('Stats base'!B$12:B$14,MATCH($E220,'Stats base'!$A$12:$A$14,0))*INDEX('Stats base'!B$18:B$22,MATCH($J220,'Stats base'!$A$18:$A$22,0))*IFERROR(INDEX(Variación!C$3:C$228,MATCH($G220,Variación!$A$3:$A$228,0)),1),0)</f>
        <v>99</v>
      </c>
      <c r="L220" s="20">
        <f>ROUND(INDEX('Stats base'!C$5:C$8,MATCH($C220,'Stats base'!$A$5:$A$8,0))*INDEX('Stats base'!C$12:C$14,MATCH($E220,'Stats base'!$A$12:$A$14,0))*INDEX('Stats base'!C$18:C$22,MATCH($J220,'Stats base'!$A$18:$A$22,0))*IFERROR(INDEX(Variación!D$3:D$228,MATCH($G220,Variación!$A$3:$A$228,0)),1),1)</f>
        <v>8.6</v>
      </c>
      <c r="M220" s="20">
        <f>ROUND(INDEX('Stats base'!D$5:D$8,MATCH($C220,'Stats base'!$A$5:$A$8,0))*INDEX('Stats base'!D$12:D$14,MATCH($E220,'Stats base'!$A$12:$A$14,0))*INDEX('Stats base'!D$18:D$22,MATCH($J220,'Stats base'!$A$18:$A$22,0))*IFERROR(INDEX(Variación!E$3:E$228,MATCH($G220,Variación!$A$3:$A$228,0)),1),1)</f>
        <v>15.5</v>
      </c>
      <c r="N220" s="20">
        <f>ROUND(INDEX('Stats base'!E$5:E$8,MATCH($C220,'Stats base'!$A$5:$A$8,0))*INDEX('Stats base'!E$12:E$14,MATCH($E220,'Stats base'!$A$12:$A$14,0))*INDEX('Stats base'!E$18:E$22,MATCH($J220,'Stats base'!$A$18:$A$22,0))*IFERROR(INDEX(Variación!F$3:F$228,MATCH($G220,Variación!$A$3:$A$228,0)),1),1)</f>
        <v>4</v>
      </c>
      <c r="O220" s="19">
        <f>ROUND(INDEX('Stats base'!F$5:F$8,MATCH($C220,'Stats base'!$A$5:$A$8,0))*INDEX('Stats base'!F$12:F$14,MATCH($E220,'Stats base'!$A$12:$A$14,0))*INDEX('Stats base'!F$18:F$22,MATCH($J220,'Stats base'!$A$18:$A$22,0))*IFERROR(INDEX(Variación!G$3:G$228,MATCH($G220,Variación!$A$3:$A$228,0)),1),0)</f>
        <v>103</v>
      </c>
      <c r="P220" s="21">
        <f>MIN('Stats base'!$G$30,ROUND(INDEX('Stats base'!G$5:G$8,MATCH($C220,'Stats base'!$A$5:$A$8,0))*INDEX('Stats base'!G$12:G$14,MATCH($E220,'Stats base'!$A$12:$A$14,0))*INDEX('Stats base'!G$18:G$22,MATCH($J220,'Stats base'!$A$18:$A$22,0))*IFERROR(INDEX(Variación!H$3:H$228,MATCH($G220,Variación!$A$3:$A$228,0)),1),3))</f>
        <v>3.5000000000000003E-2</v>
      </c>
    </row>
    <row r="221" spans="1:16" ht="34.5" customHeight="1" x14ac:dyDescent="0.25">
      <c r="A221" s="15" t="s">
        <v>713</v>
      </c>
      <c r="B221" s="15" t="s">
        <v>714</v>
      </c>
      <c r="C221" s="16" t="s">
        <v>58</v>
      </c>
      <c r="D221" s="17" t="s">
        <v>29</v>
      </c>
      <c r="E221" s="16" t="s">
        <v>30</v>
      </c>
      <c r="F221" s="16" t="s">
        <v>43</v>
      </c>
      <c r="G221" s="18" t="s">
        <v>715</v>
      </c>
      <c r="H221" s="18"/>
      <c r="I221" s="18" t="s">
        <v>84</v>
      </c>
      <c r="J221" s="18" t="s">
        <v>85</v>
      </c>
      <c r="K221" s="19">
        <f>ROUND(INDEX('Stats base'!B$5:B$8,MATCH($C221,'Stats base'!$A$5:$A$8,0))*INDEX('Stats base'!B$12:B$14,MATCH($E221,'Stats base'!$A$12:$A$14,0))*INDEX('Stats base'!B$18:B$22,MATCH($J221,'Stats base'!$A$18:$A$22,0))*IFERROR(INDEX(Variación!C$3:C$228,MATCH($G221,Variación!$A$3:$A$228,0)),1),0)</f>
        <v>92</v>
      </c>
      <c r="L221" s="20">
        <f>ROUND(INDEX('Stats base'!C$5:C$8,MATCH($C221,'Stats base'!$A$5:$A$8,0))*INDEX('Stats base'!C$12:C$14,MATCH($E221,'Stats base'!$A$12:$A$14,0))*INDEX('Stats base'!C$18:C$22,MATCH($J221,'Stats base'!$A$18:$A$22,0))*IFERROR(INDEX(Variación!D$3:D$228,MATCH($G221,Variación!$A$3:$A$228,0)),1),1)</f>
        <v>9.3000000000000007</v>
      </c>
      <c r="M221" s="20">
        <f>ROUND(INDEX('Stats base'!D$5:D$8,MATCH($C221,'Stats base'!$A$5:$A$8,0))*INDEX('Stats base'!D$12:D$14,MATCH($E221,'Stats base'!$A$12:$A$14,0))*INDEX('Stats base'!D$18:D$22,MATCH($J221,'Stats base'!$A$18:$A$22,0))*IFERROR(INDEX(Variación!E$3:E$228,MATCH($G221,Variación!$A$3:$A$228,0)),1),1)</f>
        <v>17.100000000000001</v>
      </c>
      <c r="N221" s="20">
        <f>ROUND(INDEX('Stats base'!E$5:E$8,MATCH($C221,'Stats base'!$A$5:$A$8,0))*INDEX('Stats base'!E$12:E$14,MATCH($E221,'Stats base'!$A$12:$A$14,0))*INDEX('Stats base'!E$18:E$22,MATCH($J221,'Stats base'!$A$18:$A$22,0))*IFERROR(INDEX(Variación!F$3:F$228,MATCH($G221,Variación!$A$3:$A$228,0)),1),1)</f>
        <v>3.9</v>
      </c>
      <c r="O221" s="19">
        <f>ROUND(INDEX('Stats base'!F$5:F$8,MATCH($C221,'Stats base'!$A$5:$A$8,0))*INDEX('Stats base'!F$12:F$14,MATCH($E221,'Stats base'!$A$12:$A$14,0))*INDEX('Stats base'!F$18:F$22,MATCH($J221,'Stats base'!$A$18:$A$22,0))*IFERROR(INDEX(Variación!G$3:G$228,MATCH($G221,Variación!$A$3:$A$228,0)),1),0)</f>
        <v>110</v>
      </c>
      <c r="P221" s="21">
        <f>MIN('Stats base'!$G$30,ROUND(INDEX('Stats base'!G$5:G$8,MATCH($C221,'Stats base'!$A$5:$A$8,0))*INDEX('Stats base'!G$12:G$14,MATCH($E221,'Stats base'!$A$12:$A$14,0))*INDEX('Stats base'!G$18:G$22,MATCH($J221,'Stats base'!$A$18:$A$22,0))*IFERROR(INDEX(Variación!H$3:H$228,MATCH($G221,Variación!$A$3:$A$228,0)),1),3))</f>
        <v>3.4000000000000002E-2</v>
      </c>
    </row>
    <row r="222" spans="1:16" ht="34.5" hidden="1" customHeight="1" x14ac:dyDescent="0.25">
      <c r="A222" s="15" t="s">
        <v>716</v>
      </c>
      <c r="B222" s="15" t="s">
        <v>717</v>
      </c>
      <c r="C222" s="16" t="s">
        <v>68</v>
      </c>
      <c r="D222" s="22" t="s">
        <v>82</v>
      </c>
      <c r="E222" s="16" t="s">
        <v>30</v>
      </c>
      <c r="F222" s="16" t="s">
        <v>38</v>
      </c>
      <c r="G222" s="18" t="s">
        <v>718</v>
      </c>
      <c r="H222" s="18"/>
      <c r="I222" s="18" t="s">
        <v>84</v>
      </c>
      <c r="J222" s="18" t="s">
        <v>70</v>
      </c>
      <c r="K222" s="19">
        <f>ROUND(INDEX('Stats base'!B$5:B$8,MATCH($C222,'Stats base'!$A$5:$A$8,0))*INDEX('Stats base'!B$12:B$14,MATCH($E222,'Stats base'!$A$12:$A$14,0))*INDEX('Stats base'!B$18:B$22,MATCH($J222,'Stats base'!$A$18:$A$22,0))*IFERROR(INDEX(Variación!C$3:C$228,MATCH($G222,Variación!$A$3:$A$228,0)),1),0)</f>
        <v>102</v>
      </c>
      <c r="L222" s="20">
        <f>ROUND(INDEX('Stats base'!C$5:C$8,MATCH($C222,'Stats base'!$A$5:$A$8,0))*INDEX('Stats base'!C$12:C$14,MATCH($E222,'Stats base'!$A$12:$A$14,0))*INDEX('Stats base'!C$18:C$22,MATCH($J222,'Stats base'!$A$18:$A$22,0))*IFERROR(INDEX(Variación!D$3:D$228,MATCH($G222,Variación!$A$3:$A$228,0)),1),1)</f>
        <v>16.100000000000001</v>
      </c>
      <c r="M222" s="20">
        <f>ROUND(INDEX('Stats base'!D$5:D$8,MATCH($C222,'Stats base'!$A$5:$A$8,0))*INDEX('Stats base'!D$12:D$14,MATCH($E222,'Stats base'!$A$12:$A$14,0))*INDEX('Stats base'!D$18:D$22,MATCH($J222,'Stats base'!$A$18:$A$22,0))*IFERROR(INDEX(Variación!E$3:E$228,MATCH($G222,Variación!$A$3:$A$228,0)),1),1)</f>
        <v>24.8</v>
      </c>
      <c r="N222" s="20">
        <f>ROUND(INDEX('Stats base'!E$5:E$8,MATCH($C222,'Stats base'!$A$5:$A$8,0))*INDEX('Stats base'!E$12:E$14,MATCH($E222,'Stats base'!$A$12:$A$14,0))*INDEX('Stats base'!E$18:E$22,MATCH($J222,'Stats base'!$A$18:$A$22,0))*IFERROR(INDEX(Variación!F$3:F$228,MATCH($G222,Variación!$A$3:$A$228,0)),1),1)</f>
        <v>3.8</v>
      </c>
      <c r="O222" s="19">
        <f>ROUND(INDEX('Stats base'!F$5:F$8,MATCH($C222,'Stats base'!$A$5:$A$8,0))*INDEX('Stats base'!F$12:F$14,MATCH($E222,'Stats base'!$A$12:$A$14,0))*INDEX('Stats base'!F$18:F$22,MATCH($J222,'Stats base'!$A$18:$A$22,0))*IFERROR(INDEX(Variación!G$3:G$228,MATCH($G222,Variación!$A$3:$A$228,0)),1),0)</f>
        <v>103</v>
      </c>
      <c r="P222" s="21">
        <f>MIN('Stats base'!$G$30,ROUND(INDEX('Stats base'!G$5:G$8,MATCH($C222,'Stats base'!$A$5:$A$8,0))*INDEX('Stats base'!G$12:G$14,MATCH($E222,'Stats base'!$A$12:$A$14,0))*INDEX('Stats base'!G$18:G$22,MATCH($J222,'Stats base'!$A$18:$A$22,0))*IFERROR(INDEX(Variación!H$3:H$228,MATCH($G222,Variación!$A$3:$A$228,0)),1),3))</f>
        <v>0.03</v>
      </c>
    </row>
    <row r="223" spans="1:16" ht="34.5" customHeight="1" x14ac:dyDescent="0.25">
      <c r="A223" s="15" t="s">
        <v>719</v>
      </c>
      <c r="B223" s="15" t="s">
        <v>720</v>
      </c>
      <c r="C223" s="16" t="s">
        <v>58</v>
      </c>
      <c r="D223" s="17" t="s">
        <v>29</v>
      </c>
      <c r="E223" s="16" t="s">
        <v>30</v>
      </c>
      <c r="F223" s="16" t="s">
        <v>75</v>
      </c>
      <c r="G223" s="18" t="s">
        <v>721</v>
      </c>
      <c r="H223" s="18"/>
      <c r="I223" s="18" t="s">
        <v>84</v>
      </c>
      <c r="J223" s="18" t="s">
        <v>85</v>
      </c>
      <c r="K223" s="19">
        <f>ROUND(INDEX('Stats base'!B$5:B$8,MATCH($C223,'Stats base'!$A$5:$A$8,0))*INDEX('Stats base'!B$12:B$14,MATCH($E223,'Stats base'!$A$12:$A$14,0))*INDEX('Stats base'!B$18:B$22,MATCH($J223,'Stats base'!$A$18:$A$22,0))*IFERROR(INDEX(Variación!C$3:C$228,MATCH($G223,Variación!$A$3:$A$228,0)),1),0)</f>
        <v>77</v>
      </c>
      <c r="L223" s="20">
        <f>ROUND(INDEX('Stats base'!C$5:C$8,MATCH($C223,'Stats base'!$A$5:$A$8,0))*INDEX('Stats base'!C$12:C$14,MATCH($E223,'Stats base'!$A$12:$A$14,0))*INDEX('Stats base'!C$18:C$22,MATCH($J223,'Stats base'!$A$18:$A$22,0))*IFERROR(INDEX(Variación!D$3:D$228,MATCH($G223,Variación!$A$3:$A$228,0)),1),1)</f>
        <v>9.5</v>
      </c>
      <c r="M223" s="20">
        <f>ROUND(INDEX('Stats base'!D$5:D$8,MATCH($C223,'Stats base'!$A$5:$A$8,0))*INDEX('Stats base'!D$12:D$14,MATCH($E223,'Stats base'!$A$12:$A$14,0))*INDEX('Stats base'!D$18:D$22,MATCH($J223,'Stats base'!$A$18:$A$22,0))*IFERROR(INDEX(Variación!E$3:E$228,MATCH($G223,Variación!$A$3:$A$228,0)),1),1)</f>
        <v>17.399999999999999</v>
      </c>
      <c r="N223" s="20">
        <f>ROUND(INDEX('Stats base'!E$5:E$8,MATCH($C223,'Stats base'!$A$5:$A$8,0))*INDEX('Stats base'!E$12:E$14,MATCH($E223,'Stats base'!$A$12:$A$14,0))*INDEX('Stats base'!E$18:E$22,MATCH($J223,'Stats base'!$A$18:$A$22,0))*IFERROR(INDEX(Variación!F$3:F$228,MATCH($G223,Variación!$A$3:$A$228,0)),1),1)</f>
        <v>3.4</v>
      </c>
      <c r="O223" s="19">
        <f>ROUND(INDEX('Stats base'!F$5:F$8,MATCH($C223,'Stats base'!$A$5:$A$8,0))*INDEX('Stats base'!F$12:F$14,MATCH($E223,'Stats base'!$A$12:$A$14,0))*INDEX('Stats base'!F$18:F$22,MATCH($J223,'Stats base'!$A$18:$A$22,0))*IFERROR(INDEX(Variación!G$3:G$228,MATCH($G223,Variación!$A$3:$A$228,0)),1),0)</f>
        <v>102</v>
      </c>
      <c r="P223" s="21">
        <f>MIN('Stats base'!$G$30,ROUND(INDEX('Stats base'!G$5:G$8,MATCH($C223,'Stats base'!$A$5:$A$8,0))*INDEX('Stats base'!G$12:G$14,MATCH($E223,'Stats base'!$A$12:$A$14,0))*INDEX('Stats base'!G$18:G$22,MATCH($J223,'Stats base'!$A$18:$A$22,0))*IFERROR(INDEX(Variación!H$3:H$228,MATCH($G223,Variación!$A$3:$A$228,0)),1),3))</f>
        <v>3.5000000000000003E-2</v>
      </c>
    </row>
    <row r="224" spans="1:16" ht="34.5" customHeight="1" x14ac:dyDescent="0.25">
      <c r="A224" s="15" t="s">
        <v>722</v>
      </c>
      <c r="B224" s="15" t="s">
        <v>723</v>
      </c>
      <c r="C224" s="16" t="s">
        <v>68</v>
      </c>
      <c r="D224" s="17" t="s">
        <v>29</v>
      </c>
      <c r="E224" s="16" t="s">
        <v>30</v>
      </c>
      <c r="F224" s="16" t="s">
        <v>43</v>
      </c>
      <c r="G224" s="18" t="s">
        <v>724</v>
      </c>
      <c r="H224" s="18"/>
      <c r="I224" s="18" t="s">
        <v>84</v>
      </c>
      <c r="J224" s="18" t="s">
        <v>85</v>
      </c>
      <c r="K224" s="19">
        <f>ROUND(INDEX('Stats base'!B$5:B$8,MATCH($C224,'Stats base'!$A$5:$A$8,0))*INDEX('Stats base'!B$12:B$14,MATCH($E224,'Stats base'!$A$12:$A$14,0))*INDEX('Stats base'!B$18:B$22,MATCH($J224,'Stats base'!$A$18:$A$22,0))*IFERROR(INDEX(Variación!C$3:C$228,MATCH($G224,Variación!$A$3:$A$228,0)),1),0)</f>
        <v>86</v>
      </c>
      <c r="L224" s="20">
        <f>ROUND(INDEX('Stats base'!C$5:C$8,MATCH($C224,'Stats base'!$A$5:$A$8,0))*INDEX('Stats base'!C$12:C$14,MATCH($E224,'Stats base'!$A$12:$A$14,0))*INDEX('Stats base'!C$18:C$22,MATCH($J224,'Stats base'!$A$18:$A$22,0))*IFERROR(INDEX(Variación!D$3:D$228,MATCH($G224,Variación!$A$3:$A$228,0)),1),1)</f>
        <v>12.8</v>
      </c>
      <c r="M224" s="20">
        <f>ROUND(INDEX('Stats base'!D$5:D$8,MATCH($C224,'Stats base'!$A$5:$A$8,0))*INDEX('Stats base'!D$12:D$14,MATCH($E224,'Stats base'!$A$12:$A$14,0))*INDEX('Stats base'!D$18:D$22,MATCH($J224,'Stats base'!$A$18:$A$22,0))*IFERROR(INDEX(Variación!E$3:E$228,MATCH($G224,Variación!$A$3:$A$228,0)),1),1)</f>
        <v>20.6</v>
      </c>
      <c r="N224" s="20">
        <f>ROUND(INDEX('Stats base'!E$5:E$8,MATCH($C224,'Stats base'!$A$5:$A$8,0))*INDEX('Stats base'!E$12:E$14,MATCH($E224,'Stats base'!$A$12:$A$14,0))*INDEX('Stats base'!E$18:E$22,MATCH($J224,'Stats base'!$A$18:$A$22,0))*IFERROR(INDEX(Variación!F$3:F$228,MATCH($G224,Variación!$A$3:$A$228,0)),1),1)</f>
        <v>3.1</v>
      </c>
      <c r="O224" s="19">
        <f>ROUND(INDEX('Stats base'!F$5:F$8,MATCH($C224,'Stats base'!$A$5:$A$8,0))*INDEX('Stats base'!F$12:F$14,MATCH($E224,'Stats base'!$A$12:$A$14,0))*INDEX('Stats base'!F$18:F$22,MATCH($J224,'Stats base'!$A$18:$A$22,0))*IFERROR(INDEX(Variación!G$3:G$228,MATCH($G224,Variación!$A$3:$A$228,0)),1),0)</f>
        <v>95</v>
      </c>
      <c r="P224" s="21">
        <f>MIN('Stats base'!$G$30,ROUND(INDEX('Stats base'!G$5:G$8,MATCH($C224,'Stats base'!$A$5:$A$8,0))*INDEX('Stats base'!G$12:G$14,MATCH($E224,'Stats base'!$A$12:$A$14,0))*INDEX('Stats base'!G$18:G$22,MATCH($J224,'Stats base'!$A$18:$A$22,0))*IFERROR(INDEX(Variación!H$3:H$228,MATCH($G224,Variación!$A$3:$A$228,0)),1),3))</f>
        <v>1.9E-2</v>
      </c>
    </row>
    <row r="225" spans="1:16" ht="34.5" customHeight="1" x14ac:dyDescent="0.25">
      <c r="A225" s="15" t="s">
        <v>725</v>
      </c>
      <c r="B225" s="15" t="s">
        <v>726</v>
      </c>
      <c r="C225" s="16" t="s">
        <v>28</v>
      </c>
      <c r="D225" s="17" t="s">
        <v>29</v>
      </c>
      <c r="E225" s="16" t="s">
        <v>30</v>
      </c>
      <c r="F225" s="16" t="s">
        <v>48</v>
      </c>
      <c r="G225" s="18" t="s">
        <v>727</v>
      </c>
      <c r="H225" s="18"/>
      <c r="I225" s="18" t="s">
        <v>84</v>
      </c>
      <c r="J225" s="18" t="s">
        <v>85</v>
      </c>
      <c r="K225" s="19">
        <f>ROUND(INDEX('Stats base'!B$5:B$8,MATCH($C225,'Stats base'!$A$5:$A$8,0))*INDEX('Stats base'!B$12:B$14,MATCH($E225,'Stats base'!$A$12:$A$14,0))*INDEX('Stats base'!B$18:B$22,MATCH($J225,'Stats base'!$A$18:$A$22,0))*IFERROR(INDEX(Variación!C$3:C$228,MATCH($G225,Variación!$A$3:$A$228,0)),1),0)</f>
        <v>118</v>
      </c>
      <c r="L225" s="20">
        <f>ROUND(INDEX('Stats base'!C$5:C$8,MATCH($C225,'Stats base'!$A$5:$A$8,0))*INDEX('Stats base'!C$12:C$14,MATCH($E225,'Stats base'!$A$12:$A$14,0))*INDEX('Stats base'!C$18:C$22,MATCH($J225,'Stats base'!$A$18:$A$22,0))*IFERROR(INDEX(Variación!D$3:D$228,MATCH($G225,Variación!$A$3:$A$228,0)),1),1)</f>
        <v>8.5</v>
      </c>
      <c r="M225" s="20">
        <f>ROUND(INDEX('Stats base'!D$5:D$8,MATCH($C225,'Stats base'!$A$5:$A$8,0))*INDEX('Stats base'!D$12:D$14,MATCH($E225,'Stats base'!$A$12:$A$14,0))*INDEX('Stats base'!D$18:D$22,MATCH($J225,'Stats base'!$A$18:$A$22,0))*IFERROR(INDEX(Variación!E$3:E$228,MATCH($G225,Variación!$A$3:$A$228,0)),1),1)</f>
        <v>18.899999999999999</v>
      </c>
      <c r="N225" s="20">
        <f>ROUND(INDEX('Stats base'!E$5:E$8,MATCH($C225,'Stats base'!$A$5:$A$8,0))*INDEX('Stats base'!E$12:E$14,MATCH($E225,'Stats base'!$A$12:$A$14,0))*INDEX('Stats base'!E$18:E$22,MATCH($J225,'Stats base'!$A$18:$A$22,0))*IFERROR(INDEX(Variación!F$3:F$228,MATCH($G225,Variación!$A$3:$A$228,0)),1),1)</f>
        <v>7</v>
      </c>
      <c r="O225" s="19">
        <f>ROUND(INDEX('Stats base'!F$5:F$8,MATCH($C225,'Stats base'!$A$5:$A$8,0))*INDEX('Stats base'!F$12:F$14,MATCH($E225,'Stats base'!$A$12:$A$14,0))*INDEX('Stats base'!F$18:F$22,MATCH($J225,'Stats base'!$A$18:$A$22,0))*IFERROR(INDEX(Variación!G$3:G$228,MATCH($G225,Variación!$A$3:$A$228,0)),1),0)</f>
        <v>84</v>
      </c>
      <c r="P225" s="21">
        <f>MIN('Stats base'!$G$30,ROUND(INDEX('Stats base'!G$5:G$8,MATCH($C225,'Stats base'!$A$5:$A$8,0))*INDEX('Stats base'!G$12:G$14,MATCH($E225,'Stats base'!$A$12:$A$14,0))*INDEX('Stats base'!G$18:G$22,MATCH($J225,'Stats base'!$A$18:$A$22,0))*IFERROR(INDEX(Variación!H$3:H$228,MATCH($G225,Variación!$A$3:$A$228,0)),1),3))</f>
        <v>8.0000000000000002E-3</v>
      </c>
    </row>
    <row r="226" spans="1:16" ht="34.5" customHeight="1" x14ac:dyDescent="0.25">
      <c r="A226" s="15" t="s">
        <v>728</v>
      </c>
      <c r="B226" s="15" t="s">
        <v>729</v>
      </c>
      <c r="C226" s="16" t="s">
        <v>37</v>
      </c>
      <c r="D226" s="17" t="s">
        <v>29</v>
      </c>
      <c r="E226" s="16" t="s">
        <v>30</v>
      </c>
      <c r="F226" s="16" t="s">
        <v>48</v>
      </c>
      <c r="G226" s="18" t="s">
        <v>730</v>
      </c>
      <c r="H226" s="18"/>
      <c r="I226" s="18" t="s">
        <v>84</v>
      </c>
      <c r="J226" s="18" t="s">
        <v>85</v>
      </c>
      <c r="K226" s="19">
        <f>ROUND(INDEX('Stats base'!B$5:B$8,MATCH($C226,'Stats base'!$A$5:$A$8,0))*INDEX('Stats base'!B$12:B$14,MATCH($E226,'Stats base'!$A$12:$A$14,0))*INDEX('Stats base'!B$18:B$22,MATCH($J226,'Stats base'!$A$18:$A$22,0))*IFERROR(INDEX(Variación!C$3:C$228,MATCH($G226,Variación!$A$3:$A$228,0)),1),0)</f>
        <v>128</v>
      </c>
      <c r="L226" s="20">
        <f>ROUND(INDEX('Stats base'!C$5:C$8,MATCH($C226,'Stats base'!$A$5:$A$8,0))*INDEX('Stats base'!C$12:C$14,MATCH($E226,'Stats base'!$A$12:$A$14,0))*INDEX('Stats base'!C$18:C$22,MATCH($J226,'Stats base'!$A$18:$A$22,0))*IFERROR(INDEX(Variación!D$3:D$228,MATCH($G226,Variación!$A$3:$A$228,0)),1),1)</f>
        <v>7.4</v>
      </c>
      <c r="M226" s="20">
        <f>ROUND(INDEX('Stats base'!D$5:D$8,MATCH($C226,'Stats base'!$A$5:$A$8,0))*INDEX('Stats base'!D$12:D$14,MATCH($E226,'Stats base'!$A$12:$A$14,0))*INDEX('Stats base'!D$18:D$22,MATCH($J226,'Stats base'!$A$18:$A$22,0))*IFERROR(INDEX(Variación!E$3:E$228,MATCH($G226,Variación!$A$3:$A$228,0)),1),1)</f>
        <v>12</v>
      </c>
      <c r="N226" s="20">
        <f>ROUND(INDEX('Stats base'!E$5:E$8,MATCH($C226,'Stats base'!$A$5:$A$8,0))*INDEX('Stats base'!E$12:E$14,MATCH($E226,'Stats base'!$A$12:$A$14,0))*INDEX('Stats base'!E$18:E$22,MATCH($J226,'Stats base'!$A$18:$A$22,0))*IFERROR(INDEX(Variación!F$3:F$228,MATCH($G226,Variación!$A$3:$A$228,0)),1),1)</f>
        <v>7.9</v>
      </c>
      <c r="O226" s="19">
        <f>ROUND(INDEX('Stats base'!F$5:F$8,MATCH($C226,'Stats base'!$A$5:$A$8,0))*INDEX('Stats base'!F$12:F$14,MATCH($E226,'Stats base'!$A$12:$A$14,0))*INDEX('Stats base'!F$18:F$22,MATCH($J226,'Stats base'!$A$18:$A$22,0))*IFERROR(INDEX(Variación!G$3:G$228,MATCH($G226,Variación!$A$3:$A$228,0)),1),0)</f>
        <v>81</v>
      </c>
      <c r="P226" s="21">
        <f>MIN('Stats base'!$G$30,ROUND(INDEX('Stats base'!G$5:G$8,MATCH($C226,'Stats base'!$A$5:$A$8,0))*INDEX('Stats base'!G$12:G$14,MATCH($E226,'Stats base'!$A$12:$A$14,0))*INDEX('Stats base'!G$18:G$22,MATCH($J226,'Stats base'!$A$18:$A$22,0))*IFERROR(INDEX(Variación!H$3:H$228,MATCH($G226,Variación!$A$3:$A$228,0)),1),3))</f>
        <v>1.0999999999999999E-2</v>
      </c>
    </row>
    <row r="227" spans="1:16" ht="34.5" customHeight="1" x14ac:dyDescent="0.25">
      <c r="A227" s="15" t="s">
        <v>731</v>
      </c>
      <c r="B227" s="15" t="s">
        <v>732</v>
      </c>
      <c r="C227" s="16" t="s">
        <v>37</v>
      </c>
      <c r="D227" s="17" t="s">
        <v>29</v>
      </c>
      <c r="E227" s="16" t="s">
        <v>30</v>
      </c>
      <c r="F227" s="16" t="s">
        <v>43</v>
      </c>
      <c r="G227" s="18" t="s">
        <v>733</v>
      </c>
      <c r="H227" s="18"/>
      <c r="I227" s="18" t="s">
        <v>84</v>
      </c>
      <c r="J227" s="18" t="s">
        <v>85</v>
      </c>
      <c r="K227" s="19">
        <f>ROUND(INDEX('Stats base'!B$5:B$8,MATCH($C227,'Stats base'!$A$5:$A$8,0))*INDEX('Stats base'!B$12:B$14,MATCH($E227,'Stats base'!$A$12:$A$14,0))*INDEX('Stats base'!B$18:B$22,MATCH($J227,'Stats base'!$A$18:$A$22,0))*IFERROR(INDEX(Variación!C$3:C$228,MATCH($G227,Variación!$A$3:$A$228,0)),1),0)</f>
        <v>116</v>
      </c>
      <c r="L227" s="20">
        <f>ROUND(INDEX('Stats base'!C$5:C$8,MATCH($C227,'Stats base'!$A$5:$A$8,0))*INDEX('Stats base'!C$12:C$14,MATCH($E227,'Stats base'!$A$12:$A$14,0))*INDEX('Stats base'!C$18:C$22,MATCH($J227,'Stats base'!$A$18:$A$22,0))*IFERROR(INDEX(Variación!D$3:D$228,MATCH($G227,Variación!$A$3:$A$228,0)),1),1)</f>
        <v>7</v>
      </c>
      <c r="M227" s="20">
        <f>ROUND(INDEX('Stats base'!D$5:D$8,MATCH($C227,'Stats base'!$A$5:$A$8,0))*INDEX('Stats base'!D$12:D$14,MATCH($E227,'Stats base'!$A$12:$A$14,0))*INDEX('Stats base'!D$18:D$22,MATCH($J227,'Stats base'!$A$18:$A$22,0))*IFERROR(INDEX(Variación!E$3:E$228,MATCH($G227,Variación!$A$3:$A$228,0)),1),1)</f>
        <v>12.6</v>
      </c>
      <c r="N227" s="20">
        <f>ROUND(INDEX('Stats base'!E$5:E$8,MATCH($C227,'Stats base'!$A$5:$A$8,0))*INDEX('Stats base'!E$12:E$14,MATCH($E227,'Stats base'!$A$12:$A$14,0))*INDEX('Stats base'!E$18:E$22,MATCH($J227,'Stats base'!$A$18:$A$22,0))*IFERROR(INDEX(Variación!F$3:F$228,MATCH($G227,Variación!$A$3:$A$228,0)),1),1)</f>
        <v>7.2</v>
      </c>
      <c r="O227" s="19">
        <f>ROUND(INDEX('Stats base'!F$5:F$8,MATCH($C227,'Stats base'!$A$5:$A$8,0))*INDEX('Stats base'!F$12:F$14,MATCH($E227,'Stats base'!$A$12:$A$14,0))*INDEX('Stats base'!F$18:F$22,MATCH($J227,'Stats base'!$A$18:$A$22,0))*IFERROR(INDEX(Variación!G$3:G$228,MATCH($G227,Variación!$A$3:$A$228,0)),1),0)</f>
        <v>85</v>
      </c>
      <c r="P227" s="21">
        <f>MIN('Stats base'!$G$30,ROUND(INDEX('Stats base'!G$5:G$8,MATCH($C227,'Stats base'!$A$5:$A$8,0))*INDEX('Stats base'!G$12:G$14,MATCH($E227,'Stats base'!$A$12:$A$14,0))*INDEX('Stats base'!G$18:G$22,MATCH($J227,'Stats base'!$A$18:$A$22,0))*IFERROR(INDEX(Variación!H$3:H$228,MATCH($G227,Variación!$A$3:$A$228,0)),1),3))</f>
        <v>1.0999999999999999E-2</v>
      </c>
    </row>
    <row r="228" spans="1:16" ht="34.5" customHeight="1" x14ac:dyDescent="0.25">
      <c r="A228" s="23" t="s">
        <v>734</v>
      </c>
      <c r="B228" s="23" t="s">
        <v>735</v>
      </c>
      <c r="C228" s="24" t="s">
        <v>68</v>
      </c>
      <c r="D228" s="25" t="s">
        <v>29</v>
      </c>
      <c r="E228" s="24" t="s">
        <v>30</v>
      </c>
      <c r="F228" s="24" t="s">
        <v>38</v>
      </c>
      <c r="G228" s="26" t="s">
        <v>736</v>
      </c>
      <c r="H228" s="26"/>
      <c r="I228" s="26" t="s">
        <v>84</v>
      </c>
      <c r="J228" s="26" t="s">
        <v>85</v>
      </c>
      <c r="K228" s="27">
        <f>ROUND(INDEX('Stats base'!B$5:B$8,MATCH($C228,'Stats base'!$A$5:$A$8,0))*INDEX('Stats base'!B$12:B$14,MATCH($E228,'Stats base'!$A$12:$A$14,0))*INDEX('Stats base'!B$18:B$22,MATCH($J228,'Stats base'!$A$18:$A$22,0))*IFERROR(INDEX(Variación!C$3:C$228,MATCH($G228,Variación!$A$3:$A$228,0)),1),0)</f>
        <v>82</v>
      </c>
      <c r="L228" s="28">
        <f>ROUND(INDEX('Stats base'!C$5:C$8,MATCH($C228,'Stats base'!$A$5:$A$8,0))*INDEX('Stats base'!C$12:C$14,MATCH($E228,'Stats base'!$A$12:$A$14,0))*INDEX('Stats base'!C$18:C$22,MATCH($J228,'Stats base'!$A$18:$A$22,0))*IFERROR(INDEX(Variación!D$3:D$228,MATCH($G228,Variación!$A$3:$A$228,0)),1),1)</f>
        <v>12.7</v>
      </c>
      <c r="M228" s="28">
        <f>ROUND(INDEX('Stats base'!D$5:D$8,MATCH($C228,'Stats base'!$A$5:$A$8,0))*INDEX('Stats base'!D$12:D$14,MATCH($E228,'Stats base'!$A$12:$A$14,0))*INDEX('Stats base'!D$18:D$22,MATCH($J228,'Stats base'!$A$18:$A$22,0))*IFERROR(INDEX(Variación!E$3:E$228,MATCH($G228,Variación!$A$3:$A$228,0)),1),1)</f>
        <v>21.2</v>
      </c>
      <c r="N228" s="28">
        <f>ROUND(INDEX('Stats base'!E$5:E$8,MATCH($C228,'Stats base'!$A$5:$A$8,0))*INDEX('Stats base'!E$12:E$14,MATCH($E228,'Stats base'!$A$12:$A$14,0))*INDEX('Stats base'!E$18:E$22,MATCH($J228,'Stats base'!$A$18:$A$22,0))*IFERROR(INDEX(Variación!F$3:F$228,MATCH($G228,Variación!$A$3:$A$228,0)),1),1)</f>
        <v>3.1</v>
      </c>
      <c r="O228" s="27">
        <f>ROUND(INDEX('Stats base'!F$5:F$8,MATCH($C228,'Stats base'!$A$5:$A$8,0))*INDEX('Stats base'!F$12:F$14,MATCH($E228,'Stats base'!$A$12:$A$14,0))*INDEX('Stats base'!F$18:F$22,MATCH($J228,'Stats base'!$A$18:$A$22,0))*IFERROR(INDEX(Variación!G$3:G$228,MATCH($G228,Variación!$A$3:$A$228,0)),1),0)</f>
        <v>101</v>
      </c>
      <c r="P228" s="29">
        <f>MIN('Stats base'!$G$30,ROUND(INDEX('Stats base'!G$5:G$8,MATCH($C228,'Stats base'!$A$5:$A$8,0))*INDEX('Stats base'!G$12:G$14,MATCH($E228,'Stats base'!$A$12:$A$14,0))*INDEX('Stats base'!G$18:G$22,MATCH($J228,'Stats base'!$A$18:$A$22,0))*IFERROR(INDEX(Variación!H$3:H$228,MATCH($G228,Variación!$A$3:$A$228,0)),1),3))</f>
        <v>1.9E-2</v>
      </c>
    </row>
    <row r="229" spans="1:16" ht="15.75" customHeight="1" x14ac:dyDescent="0.25"/>
    <row r="230" spans="1:16" ht="15.75" customHeight="1" x14ac:dyDescent="0.25"/>
    <row r="231" spans="1:16" ht="15.75" customHeight="1" x14ac:dyDescent="0.25"/>
    <row r="232" spans="1:16" ht="15.75" customHeight="1" x14ac:dyDescent="0.25"/>
    <row r="233" spans="1:16" ht="15.75" customHeight="1" x14ac:dyDescent="0.25"/>
    <row r="234" spans="1:16" ht="15.75" customHeight="1" x14ac:dyDescent="0.25"/>
    <row r="235" spans="1:16" ht="15.75" customHeight="1" x14ac:dyDescent="0.25"/>
    <row r="236" spans="1:16" ht="15.75" customHeight="1" x14ac:dyDescent="0.25"/>
    <row r="237" spans="1:16" ht="15.75" customHeight="1" x14ac:dyDescent="0.25"/>
    <row r="238" spans="1:16" ht="15.75" customHeight="1" x14ac:dyDescent="0.25"/>
    <row r="239" spans="1:16" ht="15.75" customHeight="1" x14ac:dyDescent="0.25"/>
    <row r="240" spans="1:1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row r="1004" ht="15.75" customHeight="1" x14ac:dyDescent="0.25"/>
    <row r="1005" ht="15.75" customHeight="1" x14ac:dyDescent="0.25"/>
    <row r="1006" ht="15.75" customHeight="1" x14ac:dyDescent="0.25"/>
    <row r="1007" ht="15.75" customHeight="1" x14ac:dyDescent="0.25"/>
    <row r="1008" ht="15.75" customHeight="1" x14ac:dyDescent="0.25"/>
    <row r="1009" ht="15.75" customHeight="1" x14ac:dyDescent="0.25"/>
    <row r="1010" ht="15.75" customHeight="1" x14ac:dyDescent="0.25"/>
    <row r="1011" ht="15.75" customHeight="1" x14ac:dyDescent="0.25"/>
    <row r="1012" ht="15.75" customHeight="1" x14ac:dyDescent="0.25"/>
    <row r="1013" ht="15.75" customHeight="1" x14ac:dyDescent="0.25"/>
    <row r="1014" ht="15.75" customHeight="1" x14ac:dyDescent="0.25"/>
    <row r="1015" ht="15.75" customHeight="1" x14ac:dyDescent="0.25"/>
    <row r="1016" ht="15.75" customHeight="1" x14ac:dyDescent="0.25"/>
    <row r="1017" ht="15.75" customHeight="1" x14ac:dyDescent="0.25"/>
    <row r="1018" ht="15.75" customHeight="1" x14ac:dyDescent="0.25"/>
  </sheetData>
  <autoFilter ref="A2:P228" xr:uid="{00000000-0009-0000-0000-000001000000}">
    <filterColumn colId="9">
      <filters>
        <filter val="Común"/>
      </filters>
    </filterColumn>
    <sortState xmlns:xlrd2="http://schemas.microsoft.com/office/spreadsheetml/2017/richdata2" ref="A3:P228">
      <sortCondition ref="A3:A228"/>
    </sortState>
  </autoFilter>
  <mergeCells count="3">
    <mergeCell ref="A1:F1"/>
    <mergeCell ref="H1:J1"/>
    <mergeCell ref="K1:P1"/>
  </mergeCells>
  <conditionalFormatting sqref="F3:F228">
    <cfRule type="expression" dxfId="22" priority="13">
      <formula>$F3="Celestial"</formula>
    </cfRule>
    <cfRule type="expression" dxfId="21" priority="14">
      <formula>$F3="Dragon"</formula>
    </cfRule>
    <cfRule type="expression" dxfId="20" priority="15">
      <formula>$F3="Wood"</formula>
    </cfRule>
    <cfRule type="expression" dxfId="19" priority="16">
      <formula>$F3="Air"</formula>
    </cfRule>
    <cfRule type="expression" dxfId="18" priority="17">
      <formula>$F3="Fire"</formula>
    </cfRule>
    <cfRule type="expression" dxfId="17" priority="18">
      <formula>$F3="Earth"</formula>
    </cfRule>
  </conditionalFormatting>
  <conditionalFormatting sqref="J3:J228">
    <cfRule type="expression" dxfId="16" priority="2">
      <formula>$J3="Común"</formula>
    </cfRule>
    <cfRule type="expression" dxfId="15" priority="3">
      <formula>$J3="Poco Común"</formula>
    </cfRule>
    <cfRule type="expression" dxfId="14" priority="4">
      <formula>$J3="Raro"</formula>
    </cfRule>
    <cfRule type="expression" dxfId="13" priority="5">
      <formula>$J3="Épico"</formula>
    </cfRule>
    <cfRule type="expression" dxfId="12" priority="6">
      <formula>$J3="Legendario"</formula>
    </cfRule>
  </conditionalFormatting>
  <conditionalFormatting sqref="K3:K228">
    <cfRule type="dataBar" priority="7">
      <dataBar>
        <cfvo type="num" val="0"/>
        <cfvo type="num" val="220"/>
        <color rgb="FFFFC000"/>
      </dataBar>
      <extLst>
        <ext xmlns:x14="http://schemas.microsoft.com/office/spreadsheetml/2009/9/main" uri="{B025F937-C7B1-47D3-B67F-A62EFF666E3E}">
          <x14:id>{DA6ADE38-F27F-44EA-A5ED-989B7C2AC36C}</x14:id>
        </ext>
      </extLst>
    </cfRule>
  </conditionalFormatting>
  <conditionalFormatting sqref="L3:L228">
    <cfRule type="dataBar" priority="8">
      <dataBar>
        <cfvo type="num" val="0"/>
        <cfvo type="num" val="25"/>
        <color rgb="FFFFC000"/>
      </dataBar>
      <extLst>
        <ext xmlns:x14="http://schemas.microsoft.com/office/spreadsheetml/2009/9/main" uri="{B025F937-C7B1-47D3-B67F-A62EFF666E3E}">
          <x14:id>{432CE03F-1D24-41AD-87F8-A92D5C6DCC41}</x14:id>
        </ext>
      </extLst>
    </cfRule>
  </conditionalFormatting>
  <conditionalFormatting sqref="M3:M228">
    <cfRule type="dataBar" priority="9">
      <dataBar>
        <cfvo type="num" val="0"/>
        <cfvo type="num" val="40"/>
        <color rgb="FFFFC000"/>
      </dataBar>
      <extLst>
        <ext xmlns:x14="http://schemas.microsoft.com/office/spreadsheetml/2009/9/main" uri="{B025F937-C7B1-47D3-B67F-A62EFF666E3E}">
          <x14:id>{8D16C27F-98E5-492A-A041-10B43982A073}</x14:id>
        </ext>
      </extLst>
    </cfRule>
  </conditionalFormatting>
  <conditionalFormatting sqref="N3:N228">
    <cfRule type="dataBar" priority="10">
      <dataBar>
        <cfvo type="num" val="0"/>
        <cfvo type="num" val="15"/>
        <color rgb="FFFFC000"/>
      </dataBar>
      <extLst>
        <ext xmlns:x14="http://schemas.microsoft.com/office/spreadsheetml/2009/9/main" uri="{B025F937-C7B1-47D3-B67F-A62EFF666E3E}">
          <x14:id>{D6195428-B1A9-40DA-B6C3-547F3C4AB3A7}</x14:id>
        </ext>
      </extLst>
    </cfRule>
  </conditionalFormatting>
  <conditionalFormatting sqref="O3:O228">
    <cfRule type="dataBar" priority="11">
      <dataBar>
        <cfvo type="num" val="0"/>
        <cfvo type="num" val="140"/>
        <color rgb="FFFFC000"/>
      </dataBar>
      <extLst>
        <ext xmlns:x14="http://schemas.microsoft.com/office/spreadsheetml/2009/9/main" uri="{B025F937-C7B1-47D3-B67F-A62EFF666E3E}">
          <x14:id>{D0878326-D3C9-4B40-BD29-EA4A6E7DEAC0}</x14:id>
        </ext>
      </extLst>
    </cfRule>
  </conditionalFormatting>
  <conditionalFormatting sqref="P3:P228">
    <cfRule type="dataBar" priority="12">
      <dataBar>
        <cfvo type="num" val="0"/>
        <cfvo type="num" val="0.1"/>
        <color rgb="FFFFC000"/>
      </dataBar>
      <extLst>
        <ext xmlns:x14="http://schemas.microsoft.com/office/spreadsheetml/2009/9/main" uri="{B025F937-C7B1-47D3-B67F-A62EFF666E3E}">
          <x14:id>{8E425D18-E8BB-4D1A-89DC-70802F79FE75}</x14:id>
        </ext>
      </extLst>
    </cfRule>
  </conditionalFormatting>
  <pageMargins left="0.7" right="0.7" top="0.75" bottom="0.75" header="0.511811023622047" footer="0.511811023622047"/>
  <pageSetup orientation="landscape" horizontalDpi="300" verticalDpi="300"/>
  <drawing r:id="rId1"/>
  <extLst>
    <ext xmlns:x14="http://schemas.microsoft.com/office/spreadsheetml/2009/9/main" uri="{78C0D931-6437-407d-A8EE-F0AAD7539E65}">
      <x14:conditionalFormattings>
        <x14:conditionalFormatting xmlns:xm="http://schemas.microsoft.com/office/excel/2006/main">
          <x14:cfRule type="dataBar" id="{DA6ADE38-F27F-44EA-A5ED-989B7C2AC36C}">
            <x14:dataBar axisPosition="none">
              <x14:cfvo type="num">
                <xm:f>0</xm:f>
              </x14:cfvo>
              <x14:cfvo type="num">
                <xm:f>220</xm:f>
              </x14:cfvo>
              <x14:negativeFillColor rgb="FFFFC000"/>
            </x14:dataBar>
          </x14:cfRule>
          <xm:sqref>K3:K228</xm:sqref>
        </x14:conditionalFormatting>
        <x14:conditionalFormatting xmlns:xm="http://schemas.microsoft.com/office/excel/2006/main">
          <x14:cfRule type="dataBar" id="{432CE03F-1D24-41AD-87F8-A92D5C6DCC41}">
            <x14:dataBar axisPosition="none">
              <x14:cfvo type="num">
                <xm:f>0</xm:f>
              </x14:cfvo>
              <x14:cfvo type="num">
                <xm:f>25</xm:f>
              </x14:cfvo>
              <x14:negativeFillColor rgb="FFFFC000"/>
            </x14:dataBar>
          </x14:cfRule>
          <xm:sqref>L3:L228</xm:sqref>
        </x14:conditionalFormatting>
        <x14:conditionalFormatting xmlns:xm="http://schemas.microsoft.com/office/excel/2006/main">
          <x14:cfRule type="dataBar" id="{8D16C27F-98E5-492A-A041-10B43982A073}">
            <x14:dataBar axisPosition="none">
              <x14:cfvo type="num">
                <xm:f>0</xm:f>
              </x14:cfvo>
              <x14:cfvo type="num">
                <xm:f>40</xm:f>
              </x14:cfvo>
              <x14:negativeFillColor rgb="FFFFC000"/>
            </x14:dataBar>
          </x14:cfRule>
          <xm:sqref>M3:M228</xm:sqref>
        </x14:conditionalFormatting>
        <x14:conditionalFormatting xmlns:xm="http://schemas.microsoft.com/office/excel/2006/main">
          <x14:cfRule type="dataBar" id="{D6195428-B1A9-40DA-B6C3-547F3C4AB3A7}">
            <x14:dataBar axisPosition="none">
              <x14:cfvo type="num">
                <xm:f>0</xm:f>
              </x14:cfvo>
              <x14:cfvo type="num">
                <xm:f>15</xm:f>
              </x14:cfvo>
              <x14:negativeFillColor rgb="FFFFC000"/>
            </x14:dataBar>
          </x14:cfRule>
          <xm:sqref>N3:N228</xm:sqref>
        </x14:conditionalFormatting>
        <x14:conditionalFormatting xmlns:xm="http://schemas.microsoft.com/office/excel/2006/main">
          <x14:cfRule type="dataBar" id="{D0878326-D3C9-4B40-BD29-EA4A6E7DEAC0}">
            <x14:dataBar axisPosition="none">
              <x14:cfvo type="num">
                <xm:f>0</xm:f>
              </x14:cfvo>
              <x14:cfvo type="num">
                <xm:f>140</xm:f>
              </x14:cfvo>
              <x14:negativeFillColor rgb="FFFFC000"/>
            </x14:dataBar>
          </x14:cfRule>
          <xm:sqref>O3:O228</xm:sqref>
        </x14:conditionalFormatting>
        <x14:conditionalFormatting xmlns:xm="http://schemas.microsoft.com/office/excel/2006/main">
          <x14:cfRule type="dataBar" id="{8E425D18-E8BB-4D1A-89DC-70802F79FE75}">
            <x14:dataBar axisPosition="none">
              <x14:cfvo type="num">
                <xm:f>0</xm:f>
              </x14:cfvo>
              <x14:cfvo type="num">
                <xm:f>0.1</xm:f>
              </x14:cfvo>
              <x14:negativeFillColor rgb="FFFFC000"/>
            </x14:dataBar>
          </x14:cfRule>
          <xm:sqref>P3:P228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31"/>
  <sheetViews>
    <sheetView showGridLines="0" zoomScaleNormal="100" workbookViewId="0"/>
  </sheetViews>
  <sheetFormatPr baseColWidth="10" defaultColWidth="8.5703125" defaultRowHeight="15" x14ac:dyDescent="0.25"/>
  <cols>
    <col min="1" max="1" width="14" customWidth="1"/>
    <col min="2" max="3" width="10" customWidth="1"/>
    <col min="4" max="4" width="16" customWidth="1"/>
    <col min="5" max="5" width="10" customWidth="1"/>
    <col min="6" max="6" width="12" customWidth="1"/>
    <col min="7" max="7" width="10" customWidth="1"/>
    <col min="8" max="8" width="42" customWidth="1"/>
  </cols>
  <sheetData>
    <row r="3" spans="1:8" x14ac:dyDescent="0.25">
      <c r="A3" s="47" t="s">
        <v>737</v>
      </c>
      <c r="B3" s="47"/>
      <c r="C3" s="47"/>
      <c r="D3" s="47"/>
      <c r="E3" s="47"/>
      <c r="F3" s="47"/>
      <c r="G3" s="47"/>
      <c r="H3" s="47"/>
    </row>
    <row r="4" spans="1:8" x14ac:dyDescent="0.25">
      <c r="A4" s="30" t="s">
        <v>5</v>
      </c>
      <c r="B4" s="30" t="s">
        <v>10</v>
      </c>
      <c r="C4" s="30" t="s">
        <v>11</v>
      </c>
      <c r="D4" s="30" t="s">
        <v>12</v>
      </c>
      <c r="E4" s="30" t="s">
        <v>13</v>
      </c>
      <c r="F4" s="30" t="s">
        <v>14</v>
      </c>
      <c r="G4" s="30" t="s">
        <v>15</v>
      </c>
      <c r="H4" s="30" t="s">
        <v>738</v>
      </c>
    </row>
    <row r="5" spans="1:8" x14ac:dyDescent="0.25">
      <c r="A5" s="31" t="s">
        <v>68</v>
      </c>
      <c r="B5" s="32">
        <v>80</v>
      </c>
      <c r="C5" s="32">
        <v>12</v>
      </c>
      <c r="D5" s="32">
        <v>20</v>
      </c>
      <c r="E5" s="33">
        <v>3</v>
      </c>
      <c r="F5" s="32">
        <v>100</v>
      </c>
      <c r="G5" s="34">
        <v>0.02</v>
      </c>
      <c r="H5" s="31" t="s">
        <v>739</v>
      </c>
    </row>
    <row r="6" spans="1:8" x14ac:dyDescent="0.25">
      <c r="A6" s="31" t="s">
        <v>58</v>
      </c>
      <c r="B6" s="32">
        <v>90</v>
      </c>
      <c r="C6" s="32">
        <v>9</v>
      </c>
      <c r="D6" s="32">
        <v>16</v>
      </c>
      <c r="E6" s="33">
        <v>4</v>
      </c>
      <c r="F6" s="32">
        <v>108</v>
      </c>
      <c r="G6" s="34">
        <v>3.5000000000000003E-2</v>
      </c>
      <c r="H6" s="31" t="s">
        <v>740</v>
      </c>
    </row>
    <row r="7" spans="1:8" x14ac:dyDescent="0.25">
      <c r="A7" s="31" t="s">
        <v>37</v>
      </c>
      <c r="B7" s="32">
        <v>125</v>
      </c>
      <c r="C7" s="32">
        <v>7</v>
      </c>
      <c r="D7" s="32">
        <v>12</v>
      </c>
      <c r="E7" s="33">
        <v>8</v>
      </c>
      <c r="F7" s="32">
        <v>92</v>
      </c>
      <c r="G7" s="34">
        <v>1.2E-2</v>
      </c>
      <c r="H7" s="31" t="s">
        <v>741</v>
      </c>
    </row>
    <row r="8" spans="1:8" x14ac:dyDescent="0.25">
      <c r="A8" s="31" t="s">
        <v>28</v>
      </c>
      <c r="B8" s="32">
        <v>115</v>
      </c>
      <c r="C8" s="32">
        <v>8</v>
      </c>
      <c r="D8" s="32">
        <v>18</v>
      </c>
      <c r="E8" s="33">
        <v>7</v>
      </c>
      <c r="F8" s="32">
        <v>85</v>
      </c>
      <c r="G8" s="34">
        <v>8.0000000000000002E-3</v>
      </c>
      <c r="H8" s="31" t="s">
        <v>742</v>
      </c>
    </row>
    <row r="10" spans="1:8" x14ac:dyDescent="0.25">
      <c r="A10" s="47" t="s">
        <v>743</v>
      </c>
      <c r="B10" s="47"/>
      <c r="C10" s="47"/>
      <c r="D10" s="47"/>
      <c r="E10" s="47"/>
      <c r="F10" s="47"/>
      <c r="G10" s="47"/>
    </row>
    <row r="11" spans="1:8" x14ac:dyDescent="0.25">
      <c r="A11" s="30" t="s">
        <v>6</v>
      </c>
      <c r="B11" s="30" t="s">
        <v>10</v>
      </c>
      <c r="C11" s="30" t="s">
        <v>11</v>
      </c>
      <c r="D11" s="30" t="s">
        <v>12</v>
      </c>
      <c r="E11" s="30" t="s">
        <v>13</v>
      </c>
      <c r="F11" s="30" t="s">
        <v>14</v>
      </c>
      <c r="G11" s="30" t="s">
        <v>15</v>
      </c>
    </row>
    <row r="12" spans="1:8" x14ac:dyDescent="0.25">
      <c r="A12" s="31" t="s">
        <v>53</v>
      </c>
      <c r="B12" s="35">
        <v>0.95</v>
      </c>
      <c r="C12" s="35">
        <v>0.95</v>
      </c>
      <c r="D12" s="35">
        <v>0.95</v>
      </c>
      <c r="E12" s="35">
        <v>0.95</v>
      </c>
      <c r="F12" s="35">
        <v>1.1000000000000001</v>
      </c>
      <c r="G12" s="35">
        <v>1.1499999999999999</v>
      </c>
    </row>
    <row r="13" spans="1:8" x14ac:dyDescent="0.25">
      <c r="A13" s="31" t="s">
        <v>30</v>
      </c>
      <c r="B13" s="35">
        <v>1</v>
      </c>
      <c r="C13" s="35">
        <v>1</v>
      </c>
      <c r="D13" s="35">
        <v>1</v>
      </c>
      <c r="E13" s="35">
        <v>1</v>
      </c>
      <c r="F13" s="35">
        <v>1</v>
      </c>
      <c r="G13" s="35">
        <v>1</v>
      </c>
    </row>
    <row r="14" spans="1:8" x14ac:dyDescent="0.25">
      <c r="A14" s="31" t="s">
        <v>42</v>
      </c>
      <c r="B14" s="35">
        <v>1.1000000000000001</v>
      </c>
      <c r="C14" s="35">
        <v>1.05</v>
      </c>
      <c r="D14" s="35">
        <v>1.05</v>
      </c>
      <c r="E14" s="35">
        <v>1.1000000000000001</v>
      </c>
      <c r="F14" s="35">
        <v>0.88</v>
      </c>
      <c r="G14" s="35">
        <v>0.85</v>
      </c>
    </row>
    <row r="16" spans="1:8" x14ac:dyDescent="0.25">
      <c r="A16" s="47" t="s">
        <v>744</v>
      </c>
      <c r="B16" s="47"/>
      <c r="C16" s="47"/>
      <c r="D16" s="47"/>
      <c r="E16" s="47"/>
      <c r="F16" s="47"/>
      <c r="G16" s="47"/>
    </row>
    <row r="17" spans="1:7" x14ac:dyDescent="0.25">
      <c r="A17" s="30" t="s">
        <v>9</v>
      </c>
      <c r="B17" s="30" t="s">
        <v>10</v>
      </c>
      <c r="C17" s="30" t="s">
        <v>11</v>
      </c>
      <c r="D17" s="30" t="s">
        <v>12</v>
      </c>
      <c r="E17" s="30" t="s">
        <v>13</v>
      </c>
      <c r="F17" s="30" t="s">
        <v>14</v>
      </c>
      <c r="G17" s="30" t="s">
        <v>15</v>
      </c>
    </row>
    <row r="18" spans="1:7" x14ac:dyDescent="0.25">
      <c r="A18" s="31" t="s">
        <v>85</v>
      </c>
      <c r="B18" s="35">
        <v>1</v>
      </c>
      <c r="C18" s="35">
        <v>1</v>
      </c>
      <c r="D18" s="35">
        <v>1</v>
      </c>
      <c r="E18" s="35">
        <v>1</v>
      </c>
      <c r="F18" s="35">
        <v>1</v>
      </c>
      <c r="G18" s="35">
        <v>1</v>
      </c>
    </row>
    <row r="19" spans="1:7" x14ac:dyDescent="0.25">
      <c r="A19" s="31" t="s">
        <v>50</v>
      </c>
      <c r="B19" s="35">
        <v>1.1000000000000001</v>
      </c>
      <c r="C19" s="35">
        <v>1.1200000000000001</v>
      </c>
      <c r="D19" s="35">
        <v>1.1200000000000001</v>
      </c>
      <c r="E19" s="35">
        <v>1.1000000000000001</v>
      </c>
      <c r="F19" s="35">
        <v>1.02</v>
      </c>
      <c r="G19" s="35">
        <v>1.25</v>
      </c>
    </row>
    <row r="20" spans="1:7" x14ac:dyDescent="0.25">
      <c r="A20" s="31" t="s">
        <v>70</v>
      </c>
      <c r="B20" s="35">
        <v>1.22</v>
      </c>
      <c r="C20" s="35">
        <v>1.25</v>
      </c>
      <c r="D20" s="35">
        <v>1.25</v>
      </c>
      <c r="E20" s="35">
        <v>1.22</v>
      </c>
      <c r="F20" s="35">
        <v>1.04</v>
      </c>
      <c r="G20" s="35">
        <v>1.5</v>
      </c>
    </row>
    <row r="21" spans="1:7" x14ac:dyDescent="0.25">
      <c r="A21" s="31" t="s">
        <v>45</v>
      </c>
      <c r="B21" s="35">
        <v>1.38</v>
      </c>
      <c r="C21" s="35">
        <v>1.45</v>
      </c>
      <c r="D21" s="35">
        <v>1.45</v>
      </c>
      <c r="E21" s="35">
        <v>1.4</v>
      </c>
      <c r="F21" s="35">
        <v>1.06</v>
      </c>
      <c r="G21" s="35">
        <v>1.8</v>
      </c>
    </row>
    <row r="22" spans="1:7" x14ac:dyDescent="0.25">
      <c r="A22" s="31" t="s">
        <v>34</v>
      </c>
      <c r="B22" s="35">
        <v>1.55</v>
      </c>
      <c r="C22" s="35">
        <v>1.7</v>
      </c>
      <c r="D22" s="35">
        <v>1.7</v>
      </c>
      <c r="E22" s="35">
        <v>1.6</v>
      </c>
      <c r="F22" s="35">
        <v>1.08</v>
      </c>
      <c r="G22" s="35">
        <v>2.2000000000000002</v>
      </c>
    </row>
    <row r="23" spans="1:7" x14ac:dyDescent="0.25">
      <c r="A23" s="1" t="s">
        <v>745</v>
      </c>
    </row>
    <row r="24" spans="1:7" x14ac:dyDescent="0.25">
      <c r="A24" s="1" t="s">
        <v>746</v>
      </c>
    </row>
    <row r="25" spans="1:7" x14ac:dyDescent="0.25">
      <c r="A25" s="1" t="s">
        <v>747</v>
      </c>
    </row>
    <row r="26" spans="1:7" x14ac:dyDescent="0.25">
      <c r="A26" s="1" t="s">
        <v>748</v>
      </c>
    </row>
    <row r="28" spans="1:7" x14ac:dyDescent="0.25">
      <c r="A28" s="47" t="s">
        <v>749</v>
      </c>
      <c r="B28" s="47"/>
      <c r="C28" s="47"/>
      <c r="D28" s="47"/>
      <c r="E28" s="47"/>
      <c r="F28" s="47"/>
      <c r="G28" s="47"/>
    </row>
    <row r="29" spans="1:7" x14ac:dyDescent="0.25">
      <c r="A29" s="30" t="s">
        <v>750</v>
      </c>
      <c r="B29" s="30" t="s">
        <v>10</v>
      </c>
      <c r="C29" s="30" t="s">
        <v>11</v>
      </c>
      <c r="D29" s="30" t="s">
        <v>12</v>
      </c>
      <c r="E29" s="30" t="s">
        <v>13</v>
      </c>
      <c r="F29" s="30" t="s">
        <v>14</v>
      </c>
      <c r="G29" s="30" t="s">
        <v>15</v>
      </c>
    </row>
    <row r="30" spans="1:7" x14ac:dyDescent="0.25">
      <c r="A30" s="31" t="s">
        <v>751</v>
      </c>
      <c r="B30" s="32">
        <v>220</v>
      </c>
      <c r="C30" s="32">
        <v>25</v>
      </c>
      <c r="D30" s="32">
        <v>40</v>
      </c>
      <c r="E30" s="32">
        <v>15</v>
      </c>
      <c r="F30" s="32">
        <v>140</v>
      </c>
      <c r="G30" s="36">
        <v>0.1</v>
      </c>
    </row>
    <row r="31" spans="1:7" x14ac:dyDescent="0.25">
      <c r="A31" s="1" t="s">
        <v>752</v>
      </c>
    </row>
  </sheetData>
  <mergeCells count="4">
    <mergeCell ref="A3:H3"/>
    <mergeCell ref="A10:G10"/>
    <mergeCell ref="A16:G16"/>
    <mergeCell ref="A28:G28"/>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230"/>
  <sheetViews>
    <sheetView zoomScaleNormal="100" workbookViewId="0">
      <pane xSplit="2" ySplit="2" topLeftCell="C3" activePane="bottomRight" state="frozen"/>
      <selection pane="topRight" activeCell="C1" sqref="C1"/>
      <selection pane="bottomLeft" activeCell="A3" sqref="A3"/>
      <selection pane="bottomRight"/>
    </sheetView>
  </sheetViews>
  <sheetFormatPr baseColWidth="10" defaultColWidth="8.5703125" defaultRowHeight="15" x14ac:dyDescent="0.25"/>
  <cols>
    <col min="1" max="1" width="13" customWidth="1"/>
    <col min="2" max="2" width="22" customWidth="1"/>
    <col min="3" max="4" width="9" customWidth="1"/>
    <col min="5" max="5" width="15" customWidth="1"/>
    <col min="6" max="6" width="9" customWidth="1"/>
    <col min="7" max="7" width="11" customWidth="1"/>
    <col min="8" max="8" width="9" customWidth="1"/>
  </cols>
  <sheetData>
    <row r="1" spans="1:8" x14ac:dyDescent="0.25">
      <c r="A1" s="47" t="s">
        <v>753</v>
      </c>
      <c r="B1" s="47"/>
      <c r="C1" s="47"/>
      <c r="D1" s="47"/>
      <c r="E1" s="47"/>
      <c r="F1" s="47"/>
      <c r="G1" s="47"/>
      <c r="H1" s="47"/>
    </row>
    <row r="2" spans="1:8" x14ac:dyDescent="0.25">
      <c r="A2" s="30" t="s">
        <v>24</v>
      </c>
      <c r="B2" s="30" t="s">
        <v>2</v>
      </c>
      <c r="C2" s="30" t="s">
        <v>10</v>
      </c>
      <c r="D2" s="30" t="s">
        <v>11</v>
      </c>
      <c r="E2" s="30" t="s">
        <v>12</v>
      </c>
      <c r="F2" s="30" t="s">
        <v>13</v>
      </c>
      <c r="G2" s="30" t="s">
        <v>14</v>
      </c>
      <c r="H2" s="30" t="s">
        <v>15</v>
      </c>
    </row>
    <row r="3" spans="1:8" x14ac:dyDescent="0.25">
      <c r="A3" s="37" t="s">
        <v>32</v>
      </c>
      <c r="B3" s="37" t="s">
        <v>26</v>
      </c>
      <c r="C3" s="35">
        <v>1.1200000000000001</v>
      </c>
      <c r="D3" s="35">
        <v>1.3</v>
      </c>
      <c r="E3" s="35">
        <v>1.2</v>
      </c>
      <c r="F3" s="35">
        <v>1.1499999999999999</v>
      </c>
      <c r="G3" s="35">
        <v>1.05</v>
      </c>
      <c r="H3" s="35">
        <v>1</v>
      </c>
    </row>
    <row r="4" spans="1:8" x14ac:dyDescent="0.25">
      <c r="A4" s="37" t="s">
        <v>39</v>
      </c>
      <c r="B4" s="37" t="s">
        <v>35</v>
      </c>
      <c r="C4" s="35">
        <v>0.95</v>
      </c>
      <c r="D4" s="35">
        <v>0.95</v>
      </c>
      <c r="E4" s="35">
        <v>0.95</v>
      </c>
      <c r="F4" s="35">
        <v>0.97</v>
      </c>
      <c r="G4" s="35">
        <v>1.1499999999999999</v>
      </c>
      <c r="H4" s="35">
        <v>1.1499999999999999</v>
      </c>
    </row>
    <row r="5" spans="1:8" x14ac:dyDescent="0.25">
      <c r="A5" s="37" t="s">
        <v>44</v>
      </c>
      <c r="B5" s="37" t="s">
        <v>40</v>
      </c>
      <c r="C5" s="35">
        <v>1.08</v>
      </c>
      <c r="D5" s="35">
        <v>0.95</v>
      </c>
      <c r="E5" s="35">
        <v>0.9</v>
      </c>
      <c r="F5" s="35">
        <v>1.1200000000000001</v>
      </c>
      <c r="G5" s="35">
        <v>0.95</v>
      </c>
      <c r="H5" s="35">
        <v>0.9</v>
      </c>
    </row>
    <row r="6" spans="1:8" x14ac:dyDescent="0.25">
      <c r="A6" s="37" t="s">
        <v>49</v>
      </c>
      <c r="B6" s="37" t="s">
        <v>46</v>
      </c>
      <c r="C6" s="35">
        <v>1.03</v>
      </c>
      <c r="D6" s="35">
        <v>0.95</v>
      </c>
      <c r="E6" s="35">
        <v>0.99</v>
      </c>
      <c r="F6" s="35">
        <v>0.92</v>
      </c>
      <c r="G6" s="35">
        <v>1.07</v>
      </c>
      <c r="H6" s="35">
        <v>1.05</v>
      </c>
    </row>
    <row r="7" spans="1:8" x14ac:dyDescent="0.25">
      <c r="A7" s="37" t="s">
        <v>55</v>
      </c>
      <c r="B7" s="37" t="s">
        <v>51</v>
      </c>
      <c r="C7" s="35">
        <v>1.05</v>
      </c>
      <c r="D7" s="35">
        <v>1.06</v>
      </c>
      <c r="E7" s="35">
        <v>1.01</v>
      </c>
      <c r="F7" s="35">
        <v>1.1000000000000001</v>
      </c>
      <c r="G7" s="35">
        <v>0.97</v>
      </c>
      <c r="H7" s="35">
        <v>1.02</v>
      </c>
    </row>
    <row r="8" spans="1:8" x14ac:dyDescent="0.25">
      <c r="A8" s="37" t="s">
        <v>59</v>
      </c>
      <c r="B8" s="37" t="s">
        <v>56</v>
      </c>
      <c r="C8" s="35">
        <v>1</v>
      </c>
      <c r="D8" s="35">
        <v>1.0900000000000001</v>
      </c>
      <c r="E8" s="35">
        <v>1.1000000000000001</v>
      </c>
      <c r="F8" s="35">
        <v>1.01</v>
      </c>
      <c r="G8" s="35">
        <v>1</v>
      </c>
      <c r="H8" s="35">
        <v>0.97</v>
      </c>
    </row>
    <row r="9" spans="1:8" x14ac:dyDescent="0.25">
      <c r="A9" s="37" t="s">
        <v>62</v>
      </c>
      <c r="B9" s="37" t="s">
        <v>60</v>
      </c>
      <c r="C9" s="35">
        <v>0.96</v>
      </c>
      <c r="D9" s="35">
        <v>1.06</v>
      </c>
      <c r="E9" s="35">
        <v>1.02</v>
      </c>
      <c r="F9" s="35">
        <v>0.99</v>
      </c>
      <c r="G9" s="35">
        <v>0.94</v>
      </c>
      <c r="H9" s="35">
        <v>0.92</v>
      </c>
    </row>
    <row r="10" spans="1:8" x14ac:dyDescent="0.25">
      <c r="A10" s="37" t="s">
        <v>65</v>
      </c>
      <c r="B10" s="37" t="s">
        <v>63</v>
      </c>
      <c r="C10" s="35">
        <v>0.9</v>
      </c>
      <c r="D10" s="35">
        <v>1.01</v>
      </c>
      <c r="E10" s="35">
        <v>0.91</v>
      </c>
      <c r="F10" s="35">
        <v>0.93</v>
      </c>
      <c r="G10" s="35">
        <v>1.01</v>
      </c>
      <c r="H10" s="35">
        <v>1.04</v>
      </c>
    </row>
    <row r="11" spans="1:8" x14ac:dyDescent="0.25">
      <c r="A11" s="37" t="s">
        <v>69</v>
      </c>
      <c r="B11" s="37" t="s">
        <v>66</v>
      </c>
      <c r="C11" s="35">
        <v>1.05</v>
      </c>
      <c r="D11" s="35">
        <v>1.02</v>
      </c>
      <c r="E11" s="35">
        <v>0.92</v>
      </c>
      <c r="F11" s="35">
        <v>1.06</v>
      </c>
      <c r="G11" s="35">
        <v>1.03</v>
      </c>
      <c r="H11" s="35">
        <v>1.04</v>
      </c>
    </row>
    <row r="12" spans="1:8" x14ac:dyDescent="0.25">
      <c r="A12" s="37" t="s">
        <v>72</v>
      </c>
      <c r="B12" s="37" t="s">
        <v>3</v>
      </c>
      <c r="C12" s="35">
        <v>0.95</v>
      </c>
      <c r="D12" s="35">
        <v>1.02</v>
      </c>
      <c r="E12" s="35">
        <v>1</v>
      </c>
      <c r="F12" s="35">
        <v>0.92</v>
      </c>
      <c r="G12" s="35">
        <v>1.08</v>
      </c>
      <c r="H12" s="35">
        <v>1.03</v>
      </c>
    </row>
    <row r="13" spans="1:8" x14ac:dyDescent="0.25">
      <c r="A13" s="37" t="s">
        <v>76</v>
      </c>
      <c r="B13" s="37" t="s">
        <v>73</v>
      </c>
      <c r="C13" s="35">
        <v>0.95</v>
      </c>
      <c r="D13" s="35">
        <v>1.05</v>
      </c>
      <c r="E13" s="35">
        <v>1.02</v>
      </c>
      <c r="F13" s="35">
        <v>0.92</v>
      </c>
      <c r="G13" s="35">
        <v>1.1000000000000001</v>
      </c>
      <c r="H13" s="35">
        <v>1.08</v>
      </c>
    </row>
    <row r="14" spans="1:8" x14ac:dyDescent="0.25">
      <c r="A14" s="37" t="s">
        <v>79</v>
      </c>
      <c r="B14" s="37" t="s">
        <v>77</v>
      </c>
      <c r="C14" s="35">
        <v>0.85</v>
      </c>
      <c r="D14" s="35">
        <v>0.93</v>
      </c>
      <c r="E14" s="35">
        <v>0.98</v>
      </c>
      <c r="F14" s="35">
        <v>0.85</v>
      </c>
      <c r="G14" s="35">
        <v>1.1499999999999999</v>
      </c>
      <c r="H14" s="35">
        <v>1.1399999999999999</v>
      </c>
    </row>
    <row r="15" spans="1:8" x14ac:dyDescent="0.25">
      <c r="A15" s="37" t="s">
        <v>83</v>
      </c>
      <c r="B15" s="37" t="s">
        <v>80</v>
      </c>
      <c r="C15" s="35">
        <v>1.03</v>
      </c>
      <c r="D15" s="35">
        <v>0.95</v>
      </c>
      <c r="E15" s="35">
        <v>0.97</v>
      </c>
      <c r="F15" s="35">
        <v>1.02</v>
      </c>
      <c r="G15" s="35">
        <v>0.98</v>
      </c>
      <c r="H15" s="35">
        <v>0.97</v>
      </c>
    </row>
    <row r="16" spans="1:8" x14ac:dyDescent="0.25">
      <c r="A16" s="37" t="s">
        <v>88</v>
      </c>
      <c r="B16" s="37" t="s">
        <v>86</v>
      </c>
      <c r="C16" s="35">
        <v>0.94</v>
      </c>
      <c r="D16" s="35">
        <v>0.96</v>
      </c>
      <c r="E16" s="35">
        <v>0.94</v>
      </c>
      <c r="F16" s="35">
        <v>0.99</v>
      </c>
      <c r="G16" s="35">
        <v>1.06</v>
      </c>
      <c r="H16" s="35">
        <v>1.06</v>
      </c>
    </row>
    <row r="17" spans="1:8" x14ac:dyDescent="0.25">
      <c r="A17" s="37" t="s">
        <v>92</v>
      </c>
      <c r="B17" s="37" t="s">
        <v>90</v>
      </c>
      <c r="C17" s="35">
        <v>0.99</v>
      </c>
      <c r="D17" s="35">
        <v>1</v>
      </c>
      <c r="E17" s="35">
        <v>0.99</v>
      </c>
      <c r="F17" s="35">
        <v>0.98</v>
      </c>
      <c r="G17" s="35">
        <v>0.96</v>
      </c>
      <c r="H17" s="35">
        <v>0.98</v>
      </c>
    </row>
    <row r="18" spans="1:8" x14ac:dyDescent="0.25">
      <c r="A18" s="37" t="s">
        <v>95</v>
      </c>
      <c r="B18" s="37" t="s">
        <v>93</v>
      </c>
      <c r="C18" s="35">
        <v>1.03</v>
      </c>
      <c r="D18" s="35">
        <v>0.96</v>
      </c>
      <c r="E18" s="35">
        <v>0.96</v>
      </c>
      <c r="F18" s="35">
        <v>1.06</v>
      </c>
      <c r="G18" s="35">
        <v>0.97</v>
      </c>
      <c r="H18" s="35">
        <v>0.96</v>
      </c>
    </row>
    <row r="19" spans="1:8" x14ac:dyDescent="0.25">
      <c r="A19" s="37" t="s">
        <v>98</v>
      </c>
      <c r="B19" s="37" t="s">
        <v>96</v>
      </c>
      <c r="C19" s="35">
        <v>0.97</v>
      </c>
      <c r="D19" s="35">
        <v>1.1100000000000001</v>
      </c>
      <c r="E19" s="35">
        <v>1.02</v>
      </c>
      <c r="F19" s="35">
        <v>0.92</v>
      </c>
      <c r="G19" s="35">
        <v>1.07</v>
      </c>
      <c r="H19" s="35">
        <v>1.05</v>
      </c>
    </row>
    <row r="20" spans="1:8" x14ac:dyDescent="0.25">
      <c r="A20" s="37" t="s">
        <v>101</v>
      </c>
      <c r="B20" s="37" t="s">
        <v>99</v>
      </c>
      <c r="C20" s="35">
        <v>0.96</v>
      </c>
      <c r="D20" s="35">
        <v>1.03</v>
      </c>
      <c r="E20" s="35">
        <v>0.97</v>
      </c>
      <c r="F20" s="35">
        <v>0.99</v>
      </c>
      <c r="G20" s="35">
        <v>0.92</v>
      </c>
      <c r="H20" s="35">
        <v>0.88</v>
      </c>
    </row>
    <row r="21" spans="1:8" x14ac:dyDescent="0.25">
      <c r="A21" s="37" t="s">
        <v>104</v>
      </c>
      <c r="B21" s="37" t="s">
        <v>102</v>
      </c>
      <c r="C21" s="35">
        <v>1</v>
      </c>
      <c r="D21" s="35">
        <v>0.9</v>
      </c>
      <c r="E21" s="35">
        <v>0.87</v>
      </c>
      <c r="F21" s="35">
        <v>0.97</v>
      </c>
      <c r="G21" s="35">
        <v>1.0900000000000001</v>
      </c>
      <c r="H21" s="35">
        <v>1.1499999999999999</v>
      </c>
    </row>
    <row r="22" spans="1:8" x14ac:dyDescent="0.25">
      <c r="A22" s="37" t="s">
        <v>107</v>
      </c>
      <c r="B22" s="37" t="s">
        <v>105</v>
      </c>
      <c r="C22" s="35">
        <v>1</v>
      </c>
      <c r="D22" s="35">
        <v>0.88</v>
      </c>
      <c r="E22" s="35">
        <v>0.88</v>
      </c>
      <c r="F22" s="35">
        <v>0.97</v>
      </c>
      <c r="G22" s="35">
        <v>0.99</v>
      </c>
      <c r="H22" s="35">
        <v>0.98</v>
      </c>
    </row>
    <row r="23" spans="1:8" x14ac:dyDescent="0.25">
      <c r="A23" s="37" t="s">
        <v>110</v>
      </c>
      <c r="B23" s="37" t="s">
        <v>108</v>
      </c>
      <c r="C23" s="35">
        <v>0.9</v>
      </c>
      <c r="D23" s="35">
        <v>1.05</v>
      </c>
      <c r="E23" s="35">
        <v>1.05</v>
      </c>
      <c r="F23" s="35">
        <v>0.97</v>
      </c>
      <c r="G23" s="35">
        <v>0.97</v>
      </c>
      <c r="H23" s="35">
        <v>0.96</v>
      </c>
    </row>
    <row r="24" spans="1:8" x14ac:dyDescent="0.25">
      <c r="A24" s="37" t="s">
        <v>113</v>
      </c>
      <c r="B24" s="37" t="s">
        <v>111</v>
      </c>
      <c r="C24" s="35">
        <v>0.96</v>
      </c>
      <c r="D24" s="35">
        <v>1.1100000000000001</v>
      </c>
      <c r="E24" s="35">
        <v>1</v>
      </c>
      <c r="F24" s="35">
        <v>0.97</v>
      </c>
      <c r="G24" s="35">
        <v>0.9</v>
      </c>
      <c r="H24" s="35">
        <v>0.97</v>
      </c>
    </row>
    <row r="25" spans="1:8" x14ac:dyDescent="0.25">
      <c r="A25" s="37" t="s">
        <v>116</v>
      </c>
      <c r="B25" s="37" t="s">
        <v>114</v>
      </c>
      <c r="C25" s="35">
        <v>1.1499999999999999</v>
      </c>
      <c r="D25" s="35">
        <v>0.99</v>
      </c>
      <c r="E25" s="35">
        <v>1.01</v>
      </c>
      <c r="F25" s="35">
        <v>1.1299999999999999</v>
      </c>
      <c r="G25" s="35">
        <v>0.9</v>
      </c>
      <c r="H25" s="35">
        <v>0.88</v>
      </c>
    </row>
    <row r="26" spans="1:8" x14ac:dyDescent="0.25">
      <c r="A26" s="37" t="s">
        <v>119</v>
      </c>
      <c r="B26" s="37" t="s">
        <v>117</v>
      </c>
      <c r="C26" s="35">
        <v>0.95</v>
      </c>
      <c r="D26" s="35">
        <v>0.96</v>
      </c>
      <c r="E26" s="35">
        <v>0.95</v>
      </c>
      <c r="F26" s="35">
        <v>0.94</v>
      </c>
      <c r="G26" s="35">
        <v>1.04</v>
      </c>
      <c r="H26" s="35">
        <v>1.08</v>
      </c>
    </row>
    <row r="27" spans="1:8" x14ac:dyDescent="0.25">
      <c r="A27" s="37" t="s">
        <v>122</v>
      </c>
      <c r="B27" s="37" t="s">
        <v>120</v>
      </c>
      <c r="C27" s="35">
        <v>1.03</v>
      </c>
      <c r="D27" s="35">
        <v>1.01</v>
      </c>
      <c r="E27" s="35">
        <v>1.0900000000000001</v>
      </c>
      <c r="F27" s="35">
        <v>1.04</v>
      </c>
      <c r="G27" s="35">
        <v>0.92</v>
      </c>
      <c r="H27" s="35">
        <v>0.96</v>
      </c>
    </row>
    <row r="28" spans="1:8" x14ac:dyDescent="0.25">
      <c r="A28" s="37" t="s">
        <v>125</v>
      </c>
      <c r="B28" s="37" t="s">
        <v>123</v>
      </c>
      <c r="C28" s="35">
        <v>0.91</v>
      </c>
      <c r="D28" s="35">
        <v>0.93</v>
      </c>
      <c r="E28" s="35">
        <v>1.03</v>
      </c>
      <c r="F28" s="35">
        <v>0.99</v>
      </c>
      <c r="G28" s="35">
        <v>0.96</v>
      </c>
      <c r="H28" s="35">
        <v>0.96</v>
      </c>
    </row>
    <row r="29" spans="1:8" x14ac:dyDescent="0.25">
      <c r="A29" s="37" t="s">
        <v>128</v>
      </c>
      <c r="B29" s="37" t="s">
        <v>126</v>
      </c>
      <c r="C29" s="35">
        <v>0.98</v>
      </c>
      <c r="D29" s="35">
        <v>1.05</v>
      </c>
      <c r="E29" s="35">
        <v>1.07</v>
      </c>
      <c r="F29" s="35">
        <v>0.99</v>
      </c>
      <c r="G29" s="35">
        <v>0.92</v>
      </c>
      <c r="H29" s="35">
        <v>1.01</v>
      </c>
    </row>
    <row r="30" spans="1:8" x14ac:dyDescent="0.25">
      <c r="A30" s="37" t="s">
        <v>131</v>
      </c>
      <c r="B30" s="37" t="s">
        <v>129</v>
      </c>
      <c r="C30" s="35">
        <v>1.0900000000000001</v>
      </c>
      <c r="D30" s="35">
        <v>0.91</v>
      </c>
      <c r="E30" s="35">
        <v>0.88</v>
      </c>
      <c r="F30" s="35">
        <v>1.08</v>
      </c>
      <c r="G30" s="35">
        <v>0.95</v>
      </c>
      <c r="H30" s="35">
        <v>0.96</v>
      </c>
    </row>
    <row r="31" spans="1:8" x14ac:dyDescent="0.25">
      <c r="A31" s="37" t="s">
        <v>134</v>
      </c>
      <c r="B31" s="37" t="s">
        <v>132</v>
      </c>
      <c r="C31" s="35">
        <v>1.07</v>
      </c>
      <c r="D31" s="35">
        <v>1.04</v>
      </c>
      <c r="E31" s="35">
        <v>1.05</v>
      </c>
      <c r="F31" s="35">
        <v>1.04</v>
      </c>
      <c r="G31" s="35">
        <v>0.96</v>
      </c>
      <c r="H31" s="35">
        <v>0.93</v>
      </c>
    </row>
    <row r="32" spans="1:8" x14ac:dyDescent="0.25">
      <c r="A32" s="37" t="s">
        <v>137</v>
      </c>
      <c r="B32" s="37" t="s">
        <v>135</v>
      </c>
      <c r="C32" s="35">
        <v>1.08</v>
      </c>
      <c r="D32" s="35">
        <v>0.95</v>
      </c>
      <c r="E32" s="35">
        <v>1.05</v>
      </c>
      <c r="F32" s="35">
        <v>1.1000000000000001</v>
      </c>
      <c r="G32" s="35">
        <v>0.95</v>
      </c>
      <c r="H32" s="35">
        <v>0.95</v>
      </c>
    </row>
    <row r="33" spans="1:8" x14ac:dyDescent="0.25">
      <c r="A33" s="37" t="s">
        <v>141</v>
      </c>
      <c r="B33" s="37" t="s">
        <v>139</v>
      </c>
      <c r="C33" s="35">
        <v>0.99</v>
      </c>
      <c r="D33" s="35">
        <v>0.87</v>
      </c>
      <c r="E33" s="35">
        <v>0.91</v>
      </c>
      <c r="F33" s="35">
        <v>1.01</v>
      </c>
      <c r="G33" s="35">
        <v>1.07</v>
      </c>
      <c r="H33" s="35">
        <v>1.07</v>
      </c>
    </row>
    <row r="34" spans="1:8" x14ac:dyDescent="0.25">
      <c r="A34" s="37" t="s">
        <v>144</v>
      </c>
      <c r="B34" s="37" t="s">
        <v>142</v>
      </c>
      <c r="C34" s="35">
        <v>1.03</v>
      </c>
      <c r="D34" s="35">
        <v>0.95</v>
      </c>
      <c r="E34" s="35">
        <v>0.94</v>
      </c>
      <c r="F34" s="35">
        <v>0.98</v>
      </c>
      <c r="G34" s="35">
        <v>0.96</v>
      </c>
      <c r="H34" s="35">
        <v>0.97</v>
      </c>
    </row>
    <row r="35" spans="1:8" x14ac:dyDescent="0.25">
      <c r="A35" s="37" t="s">
        <v>147</v>
      </c>
      <c r="B35" s="37" t="s">
        <v>145</v>
      </c>
      <c r="C35" s="35">
        <v>0.98</v>
      </c>
      <c r="D35" s="35">
        <v>0.92</v>
      </c>
      <c r="E35" s="35">
        <v>0.92</v>
      </c>
      <c r="F35" s="35">
        <v>0.98</v>
      </c>
      <c r="G35" s="35">
        <v>1.06</v>
      </c>
      <c r="H35" s="35">
        <v>1.07</v>
      </c>
    </row>
    <row r="36" spans="1:8" x14ac:dyDescent="0.25">
      <c r="A36" s="37" t="s">
        <v>150</v>
      </c>
      <c r="B36" s="37" t="s">
        <v>148</v>
      </c>
      <c r="C36" s="35">
        <v>0.89</v>
      </c>
      <c r="D36" s="35">
        <v>0.97</v>
      </c>
      <c r="E36" s="35">
        <v>0.96</v>
      </c>
      <c r="F36" s="35">
        <v>0.91</v>
      </c>
      <c r="G36" s="35">
        <v>0.98</v>
      </c>
      <c r="H36" s="35">
        <v>1.01</v>
      </c>
    </row>
    <row r="37" spans="1:8" x14ac:dyDescent="0.25">
      <c r="A37" s="37" t="s">
        <v>153</v>
      </c>
      <c r="B37" s="37" t="s">
        <v>151</v>
      </c>
      <c r="C37" s="35">
        <v>1.0900000000000001</v>
      </c>
      <c r="D37" s="35">
        <v>1.04</v>
      </c>
      <c r="E37" s="35">
        <v>1</v>
      </c>
      <c r="F37" s="35">
        <v>1.05</v>
      </c>
      <c r="G37" s="35">
        <v>1.02</v>
      </c>
      <c r="H37" s="35">
        <v>1.04</v>
      </c>
    </row>
    <row r="38" spans="1:8" x14ac:dyDescent="0.25">
      <c r="A38" s="37" t="s">
        <v>156</v>
      </c>
      <c r="B38" s="37" t="s">
        <v>154</v>
      </c>
      <c r="C38" s="35">
        <v>0.93</v>
      </c>
      <c r="D38" s="35">
        <v>0.99</v>
      </c>
      <c r="E38" s="35">
        <v>1</v>
      </c>
      <c r="F38" s="35">
        <v>0.98</v>
      </c>
      <c r="G38" s="35">
        <v>1.02</v>
      </c>
      <c r="H38" s="35">
        <v>1.02</v>
      </c>
    </row>
    <row r="39" spans="1:8" x14ac:dyDescent="0.25">
      <c r="A39" s="37" t="s">
        <v>159</v>
      </c>
      <c r="B39" s="37" t="s">
        <v>157</v>
      </c>
      <c r="C39" s="35">
        <v>0.95</v>
      </c>
      <c r="D39" s="35">
        <v>1</v>
      </c>
      <c r="E39" s="35">
        <v>0.93</v>
      </c>
      <c r="F39" s="35">
        <v>0.96</v>
      </c>
      <c r="G39" s="35">
        <v>1.05</v>
      </c>
      <c r="H39" s="35">
        <v>1</v>
      </c>
    </row>
    <row r="40" spans="1:8" x14ac:dyDescent="0.25">
      <c r="A40" s="37" t="s">
        <v>162</v>
      </c>
      <c r="B40" s="37" t="s">
        <v>160</v>
      </c>
      <c r="C40" s="35">
        <v>0.93</v>
      </c>
      <c r="D40" s="35">
        <v>1.01</v>
      </c>
      <c r="E40" s="35">
        <v>1.03</v>
      </c>
      <c r="F40" s="35">
        <v>0.96</v>
      </c>
      <c r="G40" s="35">
        <v>0.95</v>
      </c>
      <c r="H40" s="35">
        <v>1</v>
      </c>
    </row>
    <row r="41" spans="1:8" x14ac:dyDescent="0.25">
      <c r="A41" s="37" t="s">
        <v>165</v>
      </c>
      <c r="B41" s="37" t="s">
        <v>163</v>
      </c>
      <c r="C41" s="35">
        <v>1.05</v>
      </c>
      <c r="D41" s="35">
        <v>0.85</v>
      </c>
      <c r="E41" s="35">
        <v>0.85</v>
      </c>
      <c r="F41" s="35">
        <v>1</v>
      </c>
      <c r="G41" s="35">
        <v>1.06</v>
      </c>
      <c r="H41" s="35">
        <v>1.01</v>
      </c>
    </row>
    <row r="42" spans="1:8" x14ac:dyDescent="0.25">
      <c r="A42" s="37" t="s">
        <v>168</v>
      </c>
      <c r="B42" s="37" t="s">
        <v>166</v>
      </c>
      <c r="C42" s="35">
        <v>1.1299999999999999</v>
      </c>
      <c r="D42" s="35">
        <v>1.05</v>
      </c>
      <c r="E42" s="35">
        <v>0.96</v>
      </c>
      <c r="F42" s="35">
        <v>1.07</v>
      </c>
      <c r="G42" s="35">
        <v>0.93</v>
      </c>
      <c r="H42" s="35">
        <v>0.89</v>
      </c>
    </row>
    <row r="43" spans="1:8" x14ac:dyDescent="0.25">
      <c r="A43" s="37" t="s">
        <v>171</v>
      </c>
      <c r="B43" s="37" t="s">
        <v>169</v>
      </c>
      <c r="C43" s="35">
        <v>0.98</v>
      </c>
      <c r="D43" s="35">
        <v>0.96</v>
      </c>
      <c r="E43" s="35">
        <v>1.02</v>
      </c>
      <c r="F43" s="35">
        <v>1</v>
      </c>
      <c r="G43" s="35">
        <v>1.0900000000000001</v>
      </c>
      <c r="H43" s="35">
        <v>1.1100000000000001</v>
      </c>
    </row>
    <row r="44" spans="1:8" x14ac:dyDescent="0.25">
      <c r="A44" s="37" t="s">
        <v>174</v>
      </c>
      <c r="B44" s="37" t="s">
        <v>172</v>
      </c>
      <c r="C44" s="35">
        <v>1.03</v>
      </c>
      <c r="D44" s="35">
        <v>0.97</v>
      </c>
      <c r="E44" s="35">
        <v>0.98</v>
      </c>
      <c r="F44" s="35">
        <v>0.94</v>
      </c>
      <c r="G44" s="35">
        <v>0.92</v>
      </c>
      <c r="H44" s="35">
        <v>0.95</v>
      </c>
    </row>
    <row r="45" spans="1:8" x14ac:dyDescent="0.25">
      <c r="A45" s="37" t="s">
        <v>177</v>
      </c>
      <c r="B45" s="37" t="s">
        <v>175</v>
      </c>
      <c r="C45" s="35">
        <v>0.9</v>
      </c>
      <c r="D45" s="35">
        <v>0.99</v>
      </c>
      <c r="E45" s="35">
        <v>0.98</v>
      </c>
      <c r="F45" s="35">
        <v>0.89</v>
      </c>
      <c r="G45" s="35">
        <v>0.99</v>
      </c>
      <c r="H45" s="35">
        <v>1.03</v>
      </c>
    </row>
    <row r="46" spans="1:8" x14ac:dyDescent="0.25">
      <c r="A46" s="37" t="s">
        <v>180</v>
      </c>
      <c r="B46" s="37" t="s">
        <v>178</v>
      </c>
      <c r="C46" s="35">
        <v>0.95</v>
      </c>
      <c r="D46" s="35">
        <v>1.1499999999999999</v>
      </c>
      <c r="E46" s="35">
        <v>1.1499999999999999</v>
      </c>
      <c r="F46" s="35">
        <v>0.95</v>
      </c>
      <c r="G46" s="35">
        <v>0.89</v>
      </c>
      <c r="H46" s="35">
        <v>0.9</v>
      </c>
    </row>
    <row r="47" spans="1:8" x14ac:dyDescent="0.25">
      <c r="A47" s="37" t="s">
        <v>183</v>
      </c>
      <c r="B47" s="37" t="s">
        <v>181</v>
      </c>
      <c r="C47" s="35">
        <v>1.05</v>
      </c>
      <c r="D47" s="35">
        <v>1.04</v>
      </c>
      <c r="E47" s="35">
        <v>1.02</v>
      </c>
      <c r="F47" s="35">
        <v>1.08</v>
      </c>
      <c r="G47" s="35">
        <v>1.06</v>
      </c>
      <c r="H47" s="35">
        <v>1.06</v>
      </c>
    </row>
    <row r="48" spans="1:8" x14ac:dyDescent="0.25">
      <c r="A48" s="37" t="s">
        <v>187</v>
      </c>
      <c r="B48" s="37" t="s">
        <v>185</v>
      </c>
      <c r="C48" s="35">
        <v>1.02</v>
      </c>
      <c r="D48" s="35">
        <v>1.07</v>
      </c>
      <c r="E48" s="35">
        <v>1.07</v>
      </c>
      <c r="F48" s="35">
        <v>0.96</v>
      </c>
      <c r="G48" s="35">
        <v>0.99</v>
      </c>
      <c r="H48" s="35">
        <v>1.02</v>
      </c>
    </row>
    <row r="49" spans="1:8" x14ac:dyDescent="0.25">
      <c r="A49" s="37" t="s">
        <v>191</v>
      </c>
      <c r="B49" s="37" t="s">
        <v>189</v>
      </c>
      <c r="C49" s="35">
        <v>1.01</v>
      </c>
      <c r="D49" s="35">
        <v>1.06</v>
      </c>
      <c r="E49" s="35">
        <v>1.07</v>
      </c>
      <c r="F49" s="35">
        <v>0.98</v>
      </c>
      <c r="G49" s="35">
        <v>1.06</v>
      </c>
      <c r="H49" s="35">
        <v>0.97</v>
      </c>
    </row>
    <row r="50" spans="1:8" x14ac:dyDescent="0.25">
      <c r="A50" s="37" t="s">
        <v>194</v>
      </c>
      <c r="B50" s="37" t="s">
        <v>192</v>
      </c>
      <c r="C50" s="35">
        <v>0.92</v>
      </c>
      <c r="D50" s="35">
        <v>0.96</v>
      </c>
      <c r="E50" s="35">
        <v>0.98</v>
      </c>
      <c r="F50" s="35">
        <v>0.98</v>
      </c>
      <c r="G50" s="35">
        <v>1.07</v>
      </c>
      <c r="H50" s="35">
        <v>1.05</v>
      </c>
    </row>
    <row r="51" spans="1:8" x14ac:dyDescent="0.25">
      <c r="A51" s="37" t="s">
        <v>197</v>
      </c>
      <c r="B51" s="37" t="s">
        <v>195</v>
      </c>
      <c r="C51" s="35">
        <v>0.97</v>
      </c>
      <c r="D51" s="35">
        <v>1.03</v>
      </c>
      <c r="E51" s="35">
        <v>0.97</v>
      </c>
      <c r="F51" s="35">
        <v>0.96</v>
      </c>
      <c r="G51" s="35">
        <v>1.04</v>
      </c>
      <c r="H51" s="35">
        <v>0.96</v>
      </c>
    </row>
    <row r="52" spans="1:8" x14ac:dyDescent="0.25">
      <c r="A52" s="37" t="s">
        <v>200</v>
      </c>
      <c r="B52" s="37" t="s">
        <v>198</v>
      </c>
      <c r="C52" s="35">
        <v>1.06</v>
      </c>
      <c r="D52" s="35">
        <v>0.99</v>
      </c>
      <c r="E52" s="35">
        <v>0.97</v>
      </c>
      <c r="F52" s="35">
        <v>1.03</v>
      </c>
      <c r="G52" s="35">
        <v>1.07</v>
      </c>
      <c r="H52" s="35">
        <v>1.04</v>
      </c>
    </row>
    <row r="53" spans="1:8" x14ac:dyDescent="0.25">
      <c r="A53" s="37" t="s">
        <v>203</v>
      </c>
      <c r="B53" s="37" t="s">
        <v>201</v>
      </c>
      <c r="C53" s="35">
        <v>1.05</v>
      </c>
      <c r="D53" s="35">
        <v>0.98</v>
      </c>
      <c r="E53" s="35">
        <v>1.07</v>
      </c>
      <c r="F53" s="35">
        <v>1.03</v>
      </c>
      <c r="G53" s="35">
        <v>0.95</v>
      </c>
      <c r="H53" s="35">
        <v>0.92</v>
      </c>
    </row>
    <row r="54" spans="1:8" x14ac:dyDescent="0.25">
      <c r="A54" s="37" t="s">
        <v>206</v>
      </c>
      <c r="B54" s="37" t="s">
        <v>204</v>
      </c>
      <c r="C54" s="35">
        <v>1.02</v>
      </c>
      <c r="D54" s="35">
        <v>0.94</v>
      </c>
      <c r="E54" s="35">
        <v>0.92</v>
      </c>
      <c r="F54" s="35">
        <v>1.08</v>
      </c>
      <c r="G54" s="35">
        <v>0.93</v>
      </c>
      <c r="H54" s="35">
        <v>0.94</v>
      </c>
    </row>
    <row r="55" spans="1:8" x14ac:dyDescent="0.25">
      <c r="A55" s="37" t="s">
        <v>209</v>
      </c>
      <c r="B55" s="37" t="s">
        <v>207</v>
      </c>
      <c r="C55" s="35">
        <v>0.93</v>
      </c>
      <c r="D55" s="35">
        <v>0.85</v>
      </c>
      <c r="E55" s="35">
        <v>0.92</v>
      </c>
      <c r="F55" s="35">
        <v>0.95</v>
      </c>
      <c r="G55" s="35">
        <v>1.0900000000000001</v>
      </c>
      <c r="H55" s="35">
        <v>1.04</v>
      </c>
    </row>
    <row r="56" spans="1:8" x14ac:dyDescent="0.25">
      <c r="A56" s="37" t="s">
        <v>212</v>
      </c>
      <c r="B56" s="37" t="s">
        <v>210</v>
      </c>
      <c r="C56" s="35">
        <v>1.07</v>
      </c>
      <c r="D56" s="35">
        <v>1.1000000000000001</v>
      </c>
      <c r="E56" s="35">
        <v>1.05</v>
      </c>
      <c r="F56" s="35">
        <v>1.06</v>
      </c>
      <c r="G56" s="35">
        <v>1.02</v>
      </c>
      <c r="H56" s="35">
        <v>0.99</v>
      </c>
    </row>
    <row r="57" spans="1:8" x14ac:dyDescent="0.25">
      <c r="A57" s="37" t="s">
        <v>215</v>
      </c>
      <c r="B57" s="37" t="s">
        <v>213</v>
      </c>
      <c r="C57" s="35">
        <v>0.86</v>
      </c>
      <c r="D57" s="35">
        <v>1.07</v>
      </c>
      <c r="E57" s="35">
        <v>1.04</v>
      </c>
      <c r="F57" s="35">
        <v>0.86</v>
      </c>
      <c r="G57" s="35">
        <v>1</v>
      </c>
      <c r="H57" s="35">
        <v>1.04</v>
      </c>
    </row>
    <row r="58" spans="1:8" x14ac:dyDescent="0.25">
      <c r="A58" s="37" t="s">
        <v>218</v>
      </c>
      <c r="B58" s="37" t="s">
        <v>216</v>
      </c>
      <c r="C58" s="35">
        <v>0.99</v>
      </c>
      <c r="D58" s="35">
        <v>1.06</v>
      </c>
      <c r="E58" s="35">
        <v>1.06</v>
      </c>
      <c r="F58" s="35">
        <v>0.98</v>
      </c>
      <c r="G58" s="35">
        <v>1.08</v>
      </c>
      <c r="H58" s="35">
        <v>1.05</v>
      </c>
    </row>
    <row r="59" spans="1:8" x14ac:dyDescent="0.25">
      <c r="A59" s="37" t="s">
        <v>221</v>
      </c>
      <c r="B59" s="37" t="s">
        <v>219</v>
      </c>
      <c r="C59" s="35">
        <v>1.01</v>
      </c>
      <c r="D59" s="35">
        <v>0.99</v>
      </c>
      <c r="E59" s="35">
        <v>0.93</v>
      </c>
      <c r="F59" s="35">
        <v>0.97</v>
      </c>
      <c r="G59" s="35">
        <v>1.06</v>
      </c>
      <c r="H59" s="35">
        <v>1.04</v>
      </c>
    </row>
    <row r="60" spans="1:8" x14ac:dyDescent="0.25">
      <c r="A60" s="37" t="s">
        <v>224</v>
      </c>
      <c r="B60" s="37" t="s">
        <v>222</v>
      </c>
      <c r="C60" s="35">
        <v>1.02</v>
      </c>
      <c r="D60" s="35">
        <v>1.04</v>
      </c>
      <c r="E60" s="35">
        <v>1.05</v>
      </c>
      <c r="F60" s="35">
        <v>1.01</v>
      </c>
      <c r="G60" s="35">
        <v>0.97</v>
      </c>
      <c r="H60" s="35">
        <v>0.97</v>
      </c>
    </row>
    <row r="61" spans="1:8" x14ac:dyDescent="0.25">
      <c r="A61" s="37" t="s">
        <v>227</v>
      </c>
      <c r="B61" s="37" t="s">
        <v>225</v>
      </c>
      <c r="C61" s="35">
        <v>0.97</v>
      </c>
      <c r="D61" s="35">
        <v>0.98</v>
      </c>
      <c r="E61" s="35">
        <v>0.94</v>
      </c>
      <c r="F61" s="35">
        <v>1.02</v>
      </c>
      <c r="G61" s="35">
        <v>1.02</v>
      </c>
      <c r="H61" s="35">
        <v>0.99</v>
      </c>
    </row>
    <row r="62" spans="1:8" x14ac:dyDescent="0.25">
      <c r="A62" s="37" t="s">
        <v>230</v>
      </c>
      <c r="B62" s="37" t="s">
        <v>228</v>
      </c>
      <c r="C62" s="35">
        <v>0.91</v>
      </c>
      <c r="D62" s="35">
        <v>1</v>
      </c>
      <c r="E62" s="35">
        <v>1.01</v>
      </c>
      <c r="F62" s="35">
        <v>0.94</v>
      </c>
      <c r="G62" s="35">
        <v>1.04</v>
      </c>
      <c r="H62" s="35">
        <v>1.05</v>
      </c>
    </row>
    <row r="63" spans="1:8" x14ac:dyDescent="0.25">
      <c r="A63" s="37" t="s">
        <v>233</v>
      </c>
      <c r="B63" s="37" t="s">
        <v>231</v>
      </c>
      <c r="C63" s="35">
        <v>0.94</v>
      </c>
      <c r="D63" s="35">
        <v>1.07</v>
      </c>
      <c r="E63" s="35">
        <v>1.08</v>
      </c>
      <c r="F63" s="35">
        <v>1.01</v>
      </c>
      <c r="G63" s="35">
        <v>1.04</v>
      </c>
      <c r="H63" s="35">
        <v>0.96</v>
      </c>
    </row>
    <row r="64" spans="1:8" x14ac:dyDescent="0.25">
      <c r="A64" s="37" t="s">
        <v>236</v>
      </c>
      <c r="B64" s="37" t="s">
        <v>234</v>
      </c>
      <c r="C64" s="35">
        <v>1.0900000000000001</v>
      </c>
      <c r="D64" s="35">
        <v>0.99</v>
      </c>
      <c r="E64" s="35">
        <v>0.96</v>
      </c>
      <c r="F64" s="35">
        <v>1.04</v>
      </c>
      <c r="G64" s="35">
        <v>0.94</v>
      </c>
      <c r="H64" s="35">
        <v>1.03</v>
      </c>
    </row>
    <row r="65" spans="1:8" x14ac:dyDescent="0.25">
      <c r="A65" s="37" t="s">
        <v>240</v>
      </c>
      <c r="B65" s="37" t="s">
        <v>238</v>
      </c>
      <c r="C65" s="35">
        <v>0.95</v>
      </c>
      <c r="D65" s="35">
        <v>1.1100000000000001</v>
      </c>
      <c r="E65" s="35">
        <v>1.04</v>
      </c>
      <c r="F65" s="35">
        <v>0.92</v>
      </c>
      <c r="G65" s="35">
        <v>0.98</v>
      </c>
      <c r="H65" s="35">
        <v>0.97</v>
      </c>
    </row>
    <row r="66" spans="1:8" x14ac:dyDescent="0.25">
      <c r="A66" s="37" t="s">
        <v>243</v>
      </c>
      <c r="B66" s="37" t="s">
        <v>241</v>
      </c>
      <c r="C66" s="35">
        <v>1.06</v>
      </c>
      <c r="D66" s="35">
        <v>0.88</v>
      </c>
      <c r="E66" s="35">
        <v>0.9</v>
      </c>
      <c r="F66" s="35">
        <v>1.04</v>
      </c>
      <c r="G66" s="35">
        <v>1.02</v>
      </c>
      <c r="H66" s="35">
        <v>0.95</v>
      </c>
    </row>
    <row r="67" spans="1:8" x14ac:dyDescent="0.25">
      <c r="A67" s="37" t="s">
        <v>246</v>
      </c>
      <c r="B67" s="37" t="s">
        <v>244</v>
      </c>
      <c r="C67" s="35">
        <v>1.0900000000000001</v>
      </c>
      <c r="D67" s="35">
        <v>0.95</v>
      </c>
      <c r="E67" s="35">
        <v>0.99</v>
      </c>
      <c r="F67" s="35">
        <v>1.04</v>
      </c>
      <c r="G67" s="35">
        <v>0.94</v>
      </c>
      <c r="H67" s="35">
        <v>0.91</v>
      </c>
    </row>
    <row r="68" spans="1:8" x14ac:dyDescent="0.25">
      <c r="A68" s="37" t="s">
        <v>249</v>
      </c>
      <c r="B68" s="37" t="s">
        <v>247</v>
      </c>
      <c r="C68" s="35">
        <v>1.06</v>
      </c>
      <c r="D68" s="35">
        <v>1</v>
      </c>
      <c r="E68" s="35">
        <v>1.07</v>
      </c>
      <c r="F68" s="35">
        <v>1.07</v>
      </c>
      <c r="G68" s="35">
        <v>0.92</v>
      </c>
      <c r="H68" s="35">
        <v>0.87</v>
      </c>
    </row>
    <row r="69" spans="1:8" x14ac:dyDescent="0.25">
      <c r="A69" s="37" t="s">
        <v>252</v>
      </c>
      <c r="B69" s="37" t="s">
        <v>250</v>
      </c>
      <c r="C69" s="35">
        <v>1.07</v>
      </c>
      <c r="D69" s="35">
        <v>1</v>
      </c>
      <c r="E69" s="35">
        <v>0.94</v>
      </c>
      <c r="F69" s="35">
        <v>0.96</v>
      </c>
      <c r="G69" s="35">
        <v>1.04</v>
      </c>
      <c r="H69" s="35">
        <v>1</v>
      </c>
    </row>
    <row r="70" spans="1:8" x14ac:dyDescent="0.25">
      <c r="A70" s="37" t="s">
        <v>255</v>
      </c>
      <c r="B70" s="37" t="s">
        <v>253</v>
      </c>
      <c r="C70" s="35">
        <v>1.1000000000000001</v>
      </c>
      <c r="D70" s="35">
        <v>1.04</v>
      </c>
      <c r="E70" s="35">
        <v>1.1000000000000001</v>
      </c>
      <c r="F70" s="35">
        <v>1.08</v>
      </c>
      <c r="G70" s="35">
        <v>0.96</v>
      </c>
      <c r="H70" s="35">
        <v>0.95</v>
      </c>
    </row>
    <row r="71" spans="1:8" x14ac:dyDescent="0.25">
      <c r="A71" s="37" t="s">
        <v>258</v>
      </c>
      <c r="B71" s="37" t="s">
        <v>256</v>
      </c>
      <c r="C71" s="35">
        <v>1.03</v>
      </c>
      <c r="D71" s="35">
        <v>1.08</v>
      </c>
      <c r="E71" s="35">
        <v>1.05</v>
      </c>
      <c r="F71" s="35">
        <v>1.1200000000000001</v>
      </c>
      <c r="G71" s="35">
        <v>0.85</v>
      </c>
      <c r="H71" s="35">
        <v>0.87</v>
      </c>
    </row>
    <row r="72" spans="1:8" x14ac:dyDescent="0.25">
      <c r="A72" s="37" t="s">
        <v>261</v>
      </c>
      <c r="B72" s="37" t="s">
        <v>259</v>
      </c>
      <c r="C72" s="35">
        <v>0.95</v>
      </c>
      <c r="D72" s="35">
        <v>1.05</v>
      </c>
      <c r="E72" s="35">
        <v>1.05</v>
      </c>
      <c r="F72" s="35">
        <v>0.92</v>
      </c>
      <c r="G72" s="35">
        <v>1.08</v>
      </c>
      <c r="H72" s="35">
        <v>1.1000000000000001</v>
      </c>
    </row>
    <row r="73" spans="1:8" x14ac:dyDescent="0.25">
      <c r="A73" s="37" t="s">
        <v>264</v>
      </c>
      <c r="B73" s="37" t="s">
        <v>262</v>
      </c>
      <c r="C73" s="35">
        <v>0.95</v>
      </c>
      <c r="D73" s="35">
        <v>0.94</v>
      </c>
      <c r="E73" s="35">
        <v>0.94</v>
      </c>
      <c r="F73" s="35">
        <v>1.02</v>
      </c>
      <c r="G73" s="35">
        <v>1.1499999999999999</v>
      </c>
      <c r="H73" s="35">
        <v>1.06</v>
      </c>
    </row>
    <row r="74" spans="1:8" x14ac:dyDescent="0.25">
      <c r="A74" s="37" t="s">
        <v>267</v>
      </c>
      <c r="B74" s="37" t="s">
        <v>265</v>
      </c>
      <c r="C74" s="35">
        <v>0.93</v>
      </c>
      <c r="D74" s="35">
        <v>1.0900000000000001</v>
      </c>
      <c r="E74" s="35">
        <v>1.1000000000000001</v>
      </c>
      <c r="F74" s="35">
        <v>0.97</v>
      </c>
      <c r="G74" s="35">
        <v>0.93</v>
      </c>
      <c r="H74" s="35">
        <v>0.94</v>
      </c>
    </row>
    <row r="75" spans="1:8" x14ac:dyDescent="0.25">
      <c r="A75" s="37" t="s">
        <v>270</v>
      </c>
      <c r="B75" s="37" t="s">
        <v>268</v>
      </c>
      <c r="C75" s="35">
        <v>0.96</v>
      </c>
      <c r="D75" s="35">
        <v>1.1499999999999999</v>
      </c>
      <c r="E75" s="35">
        <v>1.1200000000000001</v>
      </c>
      <c r="F75" s="35">
        <v>1</v>
      </c>
      <c r="G75" s="35">
        <v>0.85</v>
      </c>
      <c r="H75" s="35">
        <v>0.85</v>
      </c>
    </row>
    <row r="76" spans="1:8" x14ac:dyDescent="0.25">
      <c r="A76" s="37" t="s">
        <v>273</v>
      </c>
      <c r="B76" s="37" t="s">
        <v>271</v>
      </c>
      <c r="C76" s="35">
        <v>0.95</v>
      </c>
      <c r="D76" s="35">
        <v>1</v>
      </c>
      <c r="E76" s="35">
        <v>1.1000000000000001</v>
      </c>
      <c r="F76" s="35">
        <v>0.95</v>
      </c>
      <c r="G76" s="35">
        <v>1.03</v>
      </c>
      <c r="H76" s="35">
        <v>1.1499999999999999</v>
      </c>
    </row>
    <row r="77" spans="1:8" x14ac:dyDescent="0.25">
      <c r="A77" s="37" t="s">
        <v>276</v>
      </c>
      <c r="B77" s="37" t="s">
        <v>274</v>
      </c>
      <c r="C77" s="35">
        <v>0.97</v>
      </c>
      <c r="D77" s="35">
        <v>1.08</v>
      </c>
      <c r="E77" s="35">
        <v>1.1000000000000001</v>
      </c>
      <c r="F77" s="35">
        <v>0.95</v>
      </c>
      <c r="G77" s="35">
        <v>1.05</v>
      </c>
      <c r="H77" s="35">
        <v>1</v>
      </c>
    </row>
    <row r="78" spans="1:8" x14ac:dyDescent="0.25">
      <c r="A78" s="37" t="s">
        <v>279</v>
      </c>
      <c r="B78" s="37" t="s">
        <v>277</v>
      </c>
      <c r="C78" s="35">
        <v>0.99</v>
      </c>
      <c r="D78" s="35">
        <v>0.95</v>
      </c>
      <c r="E78" s="35">
        <v>0.96</v>
      </c>
      <c r="F78" s="35">
        <v>0.98</v>
      </c>
      <c r="G78" s="35">
        <v>1.05</v>
      </c>
      <c r="H78" s="35">
        <v>1.1100000000000001</v>
      </c>
    </row>
    <row r="79" spans="1:8" x14ac:dyDescent="0.25">
      <c r="A79" s="37" t="s">
        <v>282</v>
      </c>
      <c r="B79" s="37" t="s">
        <v>280</v>
      </c>
      <c r="C79" s="35">
        <v>1.03</v>
      </c>
      <c r="D79" s="35">
        <v>1.07</v>
      </c>
      <c r="E79" s="35">
        <v>1.0900000000000001</v>
      </c>
      <c r="F79" s="35">
        <v>0.96</v>
      </c>
      <c r="G79" s="35">
        <v>1.05</v>
      </c>
      <c r="H79" s="35">
        <v>0.95</v>
      </c>
    </row>
    <row r="80" spans="1:8" x14ac:dyDescent="0.25">
      <c r="A80" s="37" t="s">
        <v>285</v>
      </c>
      <c r="B80" s="37" t="s">
        <v>283</v>
      </c>
      <c r="C80" s="35">
        <v>1.01</v>
      </c>
      <c r="D80" s="35">
        <v>0.94</v>
      </c>
      <c r="E80" s="35">
        <v>0.88</v>
      </c>
      <c r="F80" s="35">
        <v>0.99</v>
      </c>
      <c r="G80" s="35">
        <v>0.93</v>
      </c>
      <c r="H80" s="35">
        <v>0.89</v>
      </c>
    </row>
    <row r="81" spans="1:8" x14ac:dyDescent="0.25">
      <c r="A81" s="37" t="s">
        <v>288</v>
      </c>
      <c r="B81" s="37" t="s">
        <v>286</v>
      </c>
      <c r="C81" s="35">
        <v>0.9</v>
      </c>
      <c r="D81" s="35">
        <v>0.96</v>
      </c>
      <c r="E81" s="35">
        <v>0.98</v>
      </c>
      <c r="F81" s="35">
        <v>0.96</v>
      </c>
      <c r="G81" s="35">
        <v>1.04</v>
      </c>
      <c r="H81" s="35">
        <v>0.98</v>
      </c>
    </row>
    <row r="82" spans="1:8" x14ac:dyDescent="0.25">
      <c r="A82" s="37" t="s">
        <v>291</v>
      </c>
      <c r="B82" s="37" t="s">
        <v>289</v>
      </c>
      <c r="C82" s="35">
        <v>1.05</v>
      </c>
      <c r="D82" s="35">
        <v>0.99</v>
      </c>
      <c r="E82" s="35">
        <v>1.01</v>
      </c>
      <c r="F82" s="35">
        <v>1</v>
      </c>
      <c r="G82" s="35">
        <v>1.07</v>
      </c>
      <c r="H82" s="35">
        <v>1.01</v>
      </c>
    </row>
    <row r="83" spans="1:8" x14ac:dyDescent="0.25">
      <c r="A83" s="37" t="s">
        <v>294</v>
      </c>
      <c r="B83" s="37" t="s">
        <v>292</v>
      </c>
      <c r="C83" s="35">
        <v>0.97</v>
      </c>
      <c r="D83" s="35">
        <v>0.97</v>
      </c>
      <c r="E83" s="35">
        <v>0.98</v>
      </c>
      <c r="F83" s="35">
        <v>1.03</v>
      </c>
      <c r="G83" s="35">
        <v>1.01</v>
      </c>
      <c r="H83" s="35">
        <v>0.96</v>
      </c>
    </row>
    <row r="84" spans="1:8" x14ac:dyDescent="0.25">
      <c r="A84" s="37" t="s">
        <v>297</v>
      </c>
      <c r="B84" s="37" t="s">
        <v>295</v>
      </c>
      <c r="C84" s="35">
        <v>1.08</v>
      </c>
      <c r="D84" s="35">
        <v>1.03</v>
      </c>
      <c r="E84" s="35">
        <v>1</v>
      </c>
      <c r="F84" s="35">
        <v>1.1000000000000001</v>
      </c>
      <c r="G84" s="35">
        <v>1.1200000000000001</v>
      </c>
      <c r="H84" s="35">
        <v>1.08</v>
      </c>
    </row>
    <row r="85" spans="1:8" x14ac:dyDescent="0.25">
      <c r="A85" s="37" t="s">
        <v>300</v>
      </c>
      <c r="B85" s="37" t="s">
        <v>298</v>
      </c>
      <c r="C85" s="35">
        <v>1</v>
      </c>
      <c r="D85" s="35">
        <v>0.94</v>
      </c>
      <c r="E85" s="35">
        <v>1.01</v>
      </c>
      <c r="F85" s="35">
        <v>0.96</v>
      </c>
      <c r="G85" s="35">
        <v>1.1200000000000001</v>
      </c>
      <c r="H85" s="35">
        <v>1.1100000000000001</v>
      </c>
    </row>
    <row r="86" spans="1:8" x14ac:dyDescent="0.25">
      <c r="A86" s="37" t="s">
        <v>303</v>
      </c>
      <c r="B86" s="37" t="s">
        <v>301</v>
      </c>
      <c r="C86" s="35">
        <v>1.02</v>
      </c>
      <c r="D86" s="35">
        <v>1.07</v>
      </c>
      <c r="E86" s="35">
        <v>1.1000000000000001</v>
      </c>
      <c r="F86" s="35">
        <v>1.03</v>
      </c>
      <c r="G86" s="35">
        <v>1.08</v>
      </c>
      <c r="H86" s="35">
        <v>1.01</v>
      </c>
    </row>
    <row r="87" spans="1:8" x14ac:dyDescent="0.25">
      <c r="A87" s="37" t="s">
        <v>307</v>
      </c>
      <c r="B87" s="37" t="s">
        <v>305</v>
      </c>
      <c r="C87" s="35">
        <v>1.02</v>
      </c>
      <c r="D87" s="35">
        <v>0.96</v>
      </c>
      <c r="E87" s="35">
        <v>0.95</v>
      </c>
      <c r="F87" s="35">
        <v>1.02</v>
      </c>
      <c r="G87" s="35">
        <v>1.04</v>
      </c>
      <c r="H87" s="35">
        <v>0.99</v>
      </c>
    </row>
    <row r="88" spans="1:8" x14ac:dyDescent="0.25">
      <c r="A88" s="37" t="s">
        <v>310</v>
      </c>
      <c r="B88" s="37" t="s">
        <v>308</v>
      </c>
      <c r="C88" s="35">
        <v>0.99</v>
      </c>
      <c r="D88" s="35">
        <v>1.05</v>
      </c>
      <c r="E88" s="35">
        <v>1.01</v>
      </c>
      <c r="F88" s="35">
        <v>0.99</v>
      </c>
      <c r="G88" s="35">
        <v>1</v>
      </c>
      <c r="H88" s="35">
        <v>0.94</v>
      </c>
    </row>
    <row r="89" spans="1:8" x14ac:dyDescent="0.25">
      <c r="A89" s="37" t="s">
        <v>313</v>
      </c>
      <c r="B89" s="37" t="s">
        <v>311</v>
      </c>
      <c r="C89" s="35">
        <v>0.98</v>
      </c>
      <c r="D89" s="35">
        <v>1.1000000000000001</v>
      </c>
      <c r="E89" s="35">
        <v>1.1499999999999999</v>
      </c>
      <c r="F89" s="35">
        <v>1</v>
      </c>
      <c r="G89" s="35">
        <v>0.95</v>
      </c>
      <c r="H89" s="35">
        <v>1</v>
      </c>
    </row>
    <row r="90" spans="1:8" x14ac:dyDescent="0.25">
      <c r="A90" s="37" t="s">
        <v>316</v>
      </c>
      <c r="B90" s="37" t="s">
        <v>314</v>
      </c>
      <c r="C90" s="35">
        <v>1.03</v>
      </c>
      <c r="D90" s="35">
        <v>1.02</v>
      </c>
      <c r="E90" s="35">
        <v>1.01</v>
      </c>
      <c r="F90" s="35">
        <v>0.95</v>
      </c>
      <c r="G90" s="35">
        <v>1.06</v>
      </c>
      <c r="H90" s="35">
        <v>0.96</v>
      </c>
    </row>
    <row r="91" spans="1:8" x14ac:dyDescent="0.25">
      <c r="A91" s="37" t="s">
        <v>319</v>
      </c>
      <c r="B91" s="37" t="s">
        <v>317</v>
      </c>
      <c r="C91" s="35">
        <v>0.94</v>
      </c>
      <c r="D91" s="35">
        <v>1.06</v>
      </c>
      <c r="E91" s="35">
        <v>0.99</v>
      </c>
      <c r="F91" s="35">
        <v>0.99</v>
      </c>
      <c r="G91" s="35">
        <v>0.98</v>
      </c>
      <c r="H91" s="35">
        <v>0.95</v>
      </c>
    </row>
    <row r="92" spans="1:8" x14ac:dyDescent="0.25">
      <c r="A92" s="37" t="s">
        <v>322</v>
      </c>
      <c r="B92" s="37" t="s">
        <v>320</v>
      </c>
      <c r="C92" s="35">
        <v>1.04</v>
      </c>
      <c r="D92" s="35">
        <v>0.89</v>
      </c>
      <c r="E92" s="35">
        <v>0.92</v>
      </c>
      <c r="F92" s="35">
        <v>1</v>
      </c>
      <c r="G92" s="35">
        <v>0.89</v>
      </c>
      <c r="H92" s="35">
        <v>0.93</v>
      </c>
    </row>
    <row r="93" spans="1:8" x14ac:dyDescent="0.25">
      <c r="A93" s="37" t="s">
        <v>325</v>
      </c>
      <c r="B93" s="37" t="s">
        <v>323</v>
      </c>
      <c r="C93" s="35">
        <v>0.96</v>
      </c>
      <c r="D93" s="35">
        <v>1.01</v>
      </c>
      <c r="E93" s="35">
        <v>1.06</v>
      </c>
      <c r="F93" s="35">
        <v>0.91</v>
      </c>
      <c r="G93" s="35">
        <v>0.93</v>
      </c>
      <c r="H93" s="35">
        <v>0.98</v>
      </c>
    </row>
    <row r="94" spans="1:8" x14ac:dyDescent="0.25">
      <c r="A94" s="37" t="s">
        <v>328</v>
      </c>
      <c r="B94" s="37" t="s">
        <v>326</v>
      </c>
      <c r="C94" s="35">
        <v>1.08</v>
      </c>
      <c r="D94" s="35">
        <v>1</v>
      </c>
      <c r="E94" s="35">
        <v>1.03</v>
      </c>
      <c r="F94" s="35">
        <v>1.05</v>
      </c>
      <c r="G94" s="35">
        <v>1.04</v>
      </c>
      <c r="H94" s="35">
        <v>1.02</v>
      </c>
    </row>
    <row r="95" spans="1:8" x14ac:dyDescent="0.25">
      <c r="A95" s="37" t="s">
        <v>331</v>
      </c>
      <c r="B95" s="37" t="s">
        <v>329</v>
      </c>
      <c r="C95" s="35">
        <v>1.1200000000000001</v>
      </c>
      <c r="D95" s="35">
        <v>0.87</v>
      </c>
      <c r="E95" s="35">
        <v>0.93</v>
      </c>
      <c r="F95" s="35">
        <v>1.07</v>
      </c>
      <c r="G95" s="35">
        <v>1.01</v>
      </c>
      <c r="H95" s="35">
        <v>1.02</v>
      </c>
    </row>
    <row r="96" spans="1:8" x14ac:dyDescent="0.25">
      <c r="A96" s="37" t="s">
        <v>334</v>
      </c>
      <c r="B96" s="37" t="s">
        <v>332</v>
      </c>
      <c r="C96" s="35">
        <v>1.03</v>
      </c>
      <c r="D96" s="35">
        <v>1.02</v>
      </c>
      <c r="E96" s="35">
        <v>1.02</v>
      </c>
      <c r="F96" s="35">
        <v>1.02</v>
      </c>
      <c r="G96" s="35">
        <v>0.99</v>
      </c>
      <c r="H96" s="35">
        <v>0.96</v>
      </c>
    </row>
    <row r="97" spans="1:8" x14ac:dyDescent="0.25">
      <c r="A97" s="37" t="s">
        <v>337</v>
      </c>
      <c r="B97" s="37" t="s">
        <v>335</v>
      </c>
      <c r="C97" s="35">
        <v>0.89</v>
      </c>
      <c r="D97" s="35">
        <v>1.02</v>
      </c>
      <c r="E97" s="35">
        <v>1.01</v>
      </c>
      <c r="F97" s="35">
        <v>0.9</v>
      </c>
      <c r="G97" s="35">
        <v>0.93</v>
      </c>
      <c r="H97" s="35">
        <v>0.95</v>
      </c>
    </row>
    <row r="98" spans="1:8" x14ac:dyDescent="0.25">
      <c r="A98" s="37" t="s">
        <v>340</v>
      </c>
      <c r="B98" s="37" t="s">
        <v>338</v>
      </c>
      <c r="C98" s="35">
        <v>0.95</v>
      </c>
      <c r="D98" s="35">
        <v>0.94</v>
      </c>
      <c r="E98" s="35">
        <v>0.95</v>
      </c>
      <c r="F98" s="35">
        <v>0.93</v>
      </c>
      <c r="G98" s="35">
        <v>0.98</v>
      </c>
      <c r="H98" s="35">
        <v>0.94</v>
      </c>
    </row>
    <row r="99" spans="1:8" x14ac:dyDescent="0.25">
      <c r="A99" s="37" t="s">
        <v>343</v>
      </c>
      <c r="B99" s="37" t="s">
        <v>341</v>
      </c>
      <c r="C99" s="35">
        <v>0.96</v>
      </c>
      <c r="D99" s="35">
        <v>1.05</v>
      </c>
      <c r="E99" s="35">
        <v>1.1000000000000001</v>
      </c>
      <c r="F99" s="35">
        <v>1.04</v>
      </c>
      <c r="G99" s="35">
        <v>0.98</v>
      </c>
      <c r="H99" s="35">
        <v>0.94</v>
      </c>
    </row>
    <row r="100" spans="1:8" x14ac:dyDescent="0.25">
      <c r="A100" s="37" t="s">
        <v>346</v>
      </c>
      <c r="B100" s="37" t="s">
        <v>344</v>
      </c>
      <c r="C100" s="35">
        <v>0.95</v>
      </c>
      <c r="D100" s="35">
        <v>1.1499999999999999</v>
      </c>
      <c r="E100" s="35">
        <v>1.1499999999999999</v>
      </c>
      <c r="F100" s="35">
        <v>0.95</v>
      </c>
      <c r="G100" s="35">
        <v>0.94</v>
      </c>
      <c r="H100" s="35">
        <v>0.97</v>
      </c>
    </row>
    <row r="101" spans="1:8" x14ac:dyDescent="0.25">
      <c r="A101" s="37" t="s">
        <v>349</v>
      </c>
      <c r="B101" s="37" t="s">
        <v>347</v>
      </c>
      <c r="C101" s="35">
        <v>1.0900000000000001</v>
      </c>
      <c r="D101" s="35">
        <v>1.02</v>
      </c>
      <c r="E101" s="35">
        <v>0.98</v>
      </c>
      <c r="F101" s="35">
        <v>1.1499999999999999</v>
      </c>
      <c r="G101" s="35">
        <v>0.88</v>
      </c>
      <c r="H101" s="35">
        <v>0.89</v>
      </c>
    </row>
    <row r="102" spans="1:8" x14ac:dyDescent="0.25">
      <c r="A102" s="37" t="s">
        <v>352</v>
      </c>
      <c r="B102" s="37" t="s">
        <v>350</v>
      </c>
      <c r="C102" s="35">
        <v>1.03</v>
      </c>
      <c r="D102" s="35">
        <v>0.85</v>
      </c>
      <c r="E102" s="35">
        <v>0.9</v>
      </c>
      <c r="F102" s="35">
        <v>1.04</v>
      </c>
      <c r="G102" s="35">
        <v>1.07</v>
      </c>
      <c r="H102" s="35">
        <v>1.1100000000000001</v>
      </c>
    </row>
    <row r="103" spans="1:8" x14ac:dyDescent="0.25">
      <c r="A103" s="37" t="s">
        <v>356</v>
      </c>
      <c r="B103" s="37" t="s">
        <v>354</v>
      </c>
      <c r="C103" s="35">
        <v>1.06</v>
      </c>
      <c r="D103" s="35">
        <v>0.99</v>
      </c>
      <c r="E103" s="35">
        <v>1.01</v>
      </c>
      <c r="F103" s="35">
        <v>1.02</v>
      </c>
      <c r="G103" s="35">
        <v>1.06</v>
      </c>
      <c r="H103" s="35">
        <v>1.1499999999999999</v>
      </c>
    </row>
    <row r="104" spans="1:8" x14ac:dyDescent="0.25">
      <c r="A104" s="37" t="s">
        <v>359</v>
      </c>
      <c r="B104" s="37" t="s">
        <v>357</v>
      </c>
      <c r="C104" s="35">
        <v>1.1299999999999999</v>
      </c>
      <c r="D104" s="35">
        <v>1.1000000000000001</v>
      </c>
      <c r="E104" s="35">
        <v>1.0900000000000001</v>
      </c>
      <c r="F104" s="35">
        <v>1.1299999999999999</v>
      </c>
      <c r="G104" s="35">
        <v>0.85</v>
      </c>
      <c r="H104" s="35">
        <v>0.85</v>
      </c>
    </row>
    <row r="105" spans="1:8" x14ac:dyDescent="0.25">
      <c r="A105" s="37" t="s">
        <v>362</v>
      </c>
      <c r="B105" s="37" t="s">
        <v>360</v>
      </c>
      <c r="C105" s="35">
        <v>1.04</v>
      </c>
      <c r="D105" s="35">
        <v>1.05</v>
      </c>
      <c r="E105" s="35">
        <v>1.02</v>
      </c>
      <c r="F105" s="35">
        <v>1.0900000000000001</v>
      </c>
      <c r="G105" s="35">
        <v>1.1000000000000001</v>
      </c>
      <c r="H105" s="35">
        <v>1.1499999999999999</v>
      </c>
    </row>
    <row r="106" spans="1:8" x14ac:dyDescent="0.25">
      <c r="A106" s="37" t="s">
        <v>365</v>
      </c>
      <c r="B106" s="37" t="s">
        <v>363</v>
      </c>
      <c r="C106" s="35">
        <v>0.96</v>
      </c>
      <c r="D106" s="35">
        <v>0.89</v>
      </c>
      <c r="E106" s="35">
        <v>0.91</v>
      </c>
      <c r="F106" s="35">
        <v>1.04</v>
      </c>
      <c r="G106" s="35">
        <v>1.05</v>
      </c>
      <c r="H106" s="35">
        <v>1.01</v>
      </c>
    </row>
    <row r="107" spans="1:8" x14ac:dyDescent="0.25">
      <c r="A107" s="37" t="s">
        <v>368</v>
      </c>
      <c r="B107" s="37" t="s">
        <v>366</v>
      </c>
      <c r="C107" s="35">
        <v>0.93</v>
      </c>
      <c r="D107" s="35">
        <v>1.04</v>
      </c>
      <c r="E107" s="35">
        <v>1.05</v>
      </c>
      <c r="F107" s="35">
        <v>0.95</v>
      </c>
      <c r="G107" s="35">
        <v>0.94</v>
      </c>
      <c r="H107" s="35">
        <v>0.9</v>
      </c>
    </row>
    <row r="108" spans="1:8" x14ac:dyDescent="0.25">
      <c r="A108" s="37" t="s">
        <v>371</v>
      </c>
      <c r="B108" s="37" t="s">
        <v>369</v>
      </c>
      <c r="C108" s="35">
        <v>0.93</v>
      </c>
      <c r="D108" s="35">
        <v>0.89</v>
      </c>
      <c r="E108" s="35">
        <v>0.92</v>
      </c>
      <c r="F108" s="35">
        <v>0.93</v>
      </c>
      <c r="G108" s="35">
        <v>1.1399999999999999</v>
      </c>
      <c r="H108" s="35">
        <v>1.1499999999999999</v>
      </c>
    </row>
    <row r="109" spans="1:8" x14ac:dyDescent="0.25">
      <c r="A109" s="37" t="s">
        <v>374</v>
      </c>
      <c r="B109" s="37" t="s">
        <v>372</v>
      </c>
      <c r="C109" s="35">
        <v>0.94</v>
      </c>
      <c r="D109" s="35">
        <v>1.1000000000000001</v>
      </c>
      <c r="E109" s="35">
        <v>1.1100000000000001</v>
      </c>
      <c r="F109" s="35">
        <v>0.92</v>
      </c>
      <c r="G109" s="35">
        <v>0.98</v>
      </c>
      <c r="H109" s="35">
        <v>1</v>
      </c>
    </row>
    <row r="110" spans="1:8" x14ac:dyDescent="0.25">
      <c r="A110" s="37" t="s">
        <v>377</v>
      </c>
      <c r="B110" s="37" t="s">
        <v>375</v>
      </c>
      <c r="C110" s="35">
        <v>1.03</v>
      </c>
      <c r="D110" s="35">
        <v>0.93</v>
      </c>
      <c r="E110" s="35">
        <v>0.92</v>
      </c>
      <c r="F110" s="35">
        <v>1.07</v>
      </c>
      <c r="G110" s="35">
        <v>0.97</v>
      </c>
      <c r="H110" s="35">
        <v>0.95</v>
      </c>
    </row>
    <row r="111" spans="1:8" x14ac:dyDescent="0.25">
      <c r="A111" s="37" t="s">
        <v>380</v>
      </c>
      <c r="B111" s="37" t="s">
        <v>378</v>
      </c>
      <c r="C111" s="35">
        <v>0.95</v>
      </c>
      <c r="D111" s="35">
        <v>1.03</v>
      </c>
      <c r="E111" s="35">
        <v>1.03</v>
      </c>
      <c r="F111" s="35">
        <v>0.94</v>
      </c>
      <c r="G111" s="35">
        <v>1.1499999999999999</v>
      </c>
      <c r="H111" s="35">
        <v>1.1499999999999999</v>
      </c>
    </row>
    <row r="112" spans="1:8" x14ac:dyDescent="0.25">
      <c r="A112" s="37" t="s">
        <v>383</v>
      </c>
      <c r="B112" s="37" t="s">
        <v>381</v>
      </c>
      <c r="C112" s="35">
        <v>1.01</v>
      </c>
      <c r="D112" s="35">
        <v>1.08</v>
      </c>
      <c r="E112" s="35">
        <v>1.07</v>
      </c>
      <c r="F112" s="35">
        <v>1</v>
      </c>
      <c r="G112" s="35">
        <v>0.95</v>
      </c>
      <c r="H112" s="35">
        <v>0.91</v>
      </c>
    </row>
    <row r="113" spans="1:8" x14ac:dyDescent="0.25">
      <c r="A113" s="37" t="s">
        <v>386</v>
      </c>
      <c r="B113" s="37" t="s">
        <v>384</v>
      </c>
      <c r="C113" s="35">
        <v>0.99</v>
      </c>
      <c r="D113" s="35">
        <v>1.01</v>
      </c>
      <c r="E113" s="35">
        <v>0.99</v>
      </c>
      <c r="F113" s="35">
        <v>0.96</v>
      </c>
      <c r="G113" s="35">
        <v>0.93</v>
      </c>
      <c r="H113" s="35">
        <v>0.97</v>
      </c>
    </row>
    <row r="114" spans="1:8" x14ac:dyDescent="0.25">
      <c r="A114" s="37" t="s">
        <v>389</v>
      </c>
      <c r="B114" s="37" t="s">
        <v>387</v>
      </c>
      <c r="C114" s="35">
        <v>0.95</v>
      </c>
      <c r="D114" s="35">
        <v>1.04</v>
      </c>
      <c r="E114" s="35">
        <v>1.06</v>
      </c>
      <c r="F114" s="35">
        <v>0.98</v>
      </c>
      <c r="G114" s="35">
        <v>0.96</v>
      </c>
      <c r="H114" s="35">
        <v>0.96</v>
      </c>
    </row>
    <row r="115" spans="1:8" x14ac:dyDescent="0.25">
      <c r="A115" s="37" t="s">
        <v>392</v>
      </c>
      <c r="B115" s="37" t="s">
        <v>390</v>
      </c>
      <c r="C115" s="35">
        <v>0.92</v>
      </c>
      <c r="D115" s="35">
        <v>0.97</v>
      </c>
      <c r="E115" s="35">
        <v>0.93</v>
      </c>
      <c r="F115" s="35">
        <v>0.98</v>
      </c>
      <c r="G115" s="35">
        <v>1.06</v>
      </c>
      <c r="H115" s="35">
        <v>1.04</v>
      </c>
    </row>
    <row r="116" spans="1:8" x14ac:dyDescent="0.25">
      <c r="A116" s="37" t="s">
        <v>395</v>
      </c>
      <c r="B116" s="37" t="s">
        <v>393</v>
      </c>
      <c r="C116" s="35">
        <v>1.06</v>
      </c>
      <c r="D116" s="35">
        <v>1.02</v>
      </c>
      <c r="E116" s="35">
        <v>1.04</v>
      </c>
      <c r="F116" s="35">
        <v>1.02</v>
      </c>
      <c r="G116" s="35">
        <v>0.95</v>
      </c>
      <c r="H116" s="35">
        <v>0.99</v>
      </c>
    </row>
    <row r="117" spans="1:8" x14ac:dyDescent="0.25">
      <c r="A117" s="37" t="s">
        <v>398</v>
      </c>
      <c r="B117" s="37" t="s">
        <v>396</v>
      </c>
      <c r="C117" s="35">
        <v>0.97</v>
      </c>
      <c r="D117" s="35">
        <v>0.95</v>
      </c>
      <c r="E117" s="35">
        <v>1.05</v>
      </c>
      <c r="F117" s="35">
        <v>1</v>
      </c>
      <c r="G117" s="35">
        <v>0.95</v>
      </c>
      <c r="H117" s="35">
        <v>0.98</v>
      </c>
    </row>
    <row r="118" spans="1:8" x14ac:dyDescent="0.25">
      <c r="A118" s="37" t="s">
        <v>401</v>
      </c>
      <c r="B118" s="37" t="s">
        <v>399</v>
      </c>
      <c r="C118" s="35">
        <v>1.05</v>
      </c>
      <c r="D118" s="35">
        <v>0.89</v>
      </c>
      <c r="E118" s="35">
        <v>0.89</v>
      </c>
      <c r="F118" s="35">
        <v>1.05</v>
      </c>
      <c r="G118" s="35">
        <v>0.94</v>
      </c>
      <c r="H118" s="35">
        <v>0.98</v>
      </c>
    </row>
    <row r="119" spans="1:8" x14ac:dyDescent="0.25">
      <c r="A119" s="37" t="s">
        <v>405</v>
      </c>
      <c r="B119" s="37" t="s">
        <v>403</v>
      </c>
      <c r="C119" s="35">
        <v>1</v>
      </c>
      <c r="D119" s="35">
        <v>0.85</v>
      </c>
      <c r="E119" s="35">
        <v>0.87</v>
      </c>
      <c r="F119" s="35">
        <v>0.99</v>
      </c>
      <c r="G119" s="35">
        <v>1.1200000000000001</v>
      </c>
      <c r="H119" s="35">
        <v>1.1499999999999999</v>
      </c>
    </row>
    <row r="120" spans="1:8" x14ac:dyDescent="0.25">
      <c r="A120" s="37" t="s">
        <v>408</v>
      </c>
      <c r="B120" s="37" t="s">
        <v>406</v>
      </c>
      <c r="C120" s="35">
        <v>1</v>
      </c>
      <c r="D120" s="35">
        <v>1.06</v>
      </c>
      <c r="E120" s="35">
        <v>1.1000000000000001</v>
      </c>
      <c r="F120" s="35">
        <v>0.91</v>
      </c>
      <c r="G120" s="35">
        <v>0.95</v>
      </c>
      <c r="H120" s="35">
        <v>1</v>
      </c>
    </row>
    <row r="121" spans="1:8" x14ac:dyDescent="0.25">
      <c r="A121" s="37" t="s">
        <v>411</v>
      </c>
      <c r="B121" s="37" t="s">
        <v>409</v>
      </c>
      <c r="C121" s="35">
        <v>1.05</v>
      </c>
      <c r="D121" s="35">
        <v>0.99</v>
      </c>
      <c r="E121" s="35">
        <v>1.04</v>
      </c>
      <c r="F121" s="35">
        <v>1.04</v>
      </c>
      <c r="G121" s="35">
        <v>1.08</v>
      </c>
      <c r="H121" s="35">
        <v>1.08</v>
      </c>
    </row>
    <row r="122" spans="1:8" x14ac:dyDescent="0.25">
      <c r="A122" s="37" t="s">
        <v>414</v>
      </c>
      <c r="B122" s="37" t="s">
        <v>412</v>
      </c>
      <c r="C122" s="35">
        <v>0.86</v>
      </c>
      <c r="D122" s="35">
        <v>0.98</v>
      </c>
      <c r="E122" s="35">
        <v>0.97</v>
      </c>
      <c r="F122" s="35">
        <v>0.9</v>
      </c>
      <c r="G122" s="35">
        <v>1.1100000000000001</v>
      </c>
      <c r="H122" s="35">
        <v>1.1299999999999999</v>
      </c>
    </row>
    <row r="123" spans="1:8" x14ac:dyDescent="0.25">
      <c r="A123" s="37" t="s">
        <v>417</v>
      </c>
      <c r="B123" s="37" t="s">
        <v>415</v>
      </c>
      <c r="C123" s="35">
        <v>1.1499999999999999</v>
      </c>
      <c r="D123" s="35">
        <v>1.05</v>
      </c>
      <c r="E123" s="35">
        <v>1.05</v>
      </c>
      <c r="F123" s="35">
        <v>1.1200000000000001</v>
      </c>
      <c r="G123" s="35">
        <v>0.95</v>
      </c>
      <c r="H123" s="35">
        <v>0.94</v>
      </c>
    </row>
    <row r="124" spans="1:8" x14ac:dyDescent="0.25">
      <c r="A124" s="37" t="s">
        <v>420</v>
      </c>
      <c r="B124" s="37" t="s">
        <v>418</v>
      </c>
      <c r="C124" s="35">
        <v>1.05</v>
      </c>
      <c r="D124" s="35">
        <v>1.02</v>
      </c>
      <c r="E124" s="35">
        <v>0.99</v>
      </c>
      <c r="F124" s="35">
        <v>1.06</v>
      </c>
      <c r="G124" s="35">
        <v>0.9</v>
      </c>
      <c r="H124" s="35">
        <v>0.97</v>
      </c>
    </row>
    <row r="125" spans="1:8" x14ac:dyDescent="0.25">
      <c r="A125" s="37" t="s">
        <v>423</v>
      </c>
      <c r="B125" s="37" t="s">
        <v>421</v>
      </c>
      <c r="C125" s="35">
        <v>1.01</v>
      </c>
      <c r="D125" s="35">
        <v>1.0900000000000001</v>
      </c>
      <c r="E125" s="35">
        <v>1.1200000000000001</v>
      </c>
      <c r="F125" s="35">
        <v>1.07</v>
      </c>
      <c r="G125" s="35">
        <v>0.89</v>
      </c>
      <c r="H125" s="35">
        <v>0.89</v>
      </c>
    </row>
    <row r="126" spans="1:8" x14ac:dyDescent="0.25">
      <c r="A126" s="37" t="s">
        <v>426</v>
      </c>
      <c r="B126" s="37" t="s">
        <v>424</v>
      </c>
      <c r="C126" s="35">
        <v>1.04</v>
      </c>
      <c r="D126" s="35">
        <v>1</v>
      </c>
      <c r="E126" s="35">
        <v>0.94</v>
      </c>
      <c r="F126" s="35">
        <v>1.08</v>
      </c>
      <c r="G126" s="35">
        <v>0.88</v>
      </c>
      <c r="H126" s="35">
        <v>0.87</v>
      </c>
    </row>
    <row r="127" spans="1:8" x14ac:dyDescent="0.25">
      <c r="A127" s="37" t="s">
        <v>429</v>
      </c>
      <c r="B127" s="37" t="s">
        <v>427</v>
      </c>
      <c r="C127" s="35">
        <v>1.02</v>
      </c>
      <c r="D127" s="35">
        <v>0.93</v>
      </c>
      <c r="E127" s="35">
        <v>1</v>
      </c>
      <c r="F127" s="35">
        <v>0.98</v>
      </c>
      <c r="G127" s="35">
        <v>0.92</v>
      </c>
      <c r="H127" s="35">
        <v>0.86</v>
      </c>
    </row>
    <row r="128" spans="1:8" x14ac:dyDescent="0.25">
      <c r="A128" s="37" t="s">
        <v>432</v>
      </c>
      <c r="B128" s="37" t="s">
        <v>430</v>
      </c>
      <c r="C128" s="35">
        <v>1.01</v>
      </c>
      <c r="D128" s="35">
        <v>1.01</v>
      </c>
      <c r="E128" s="35">
        <v>1.02</v>
      </c>
      <c r="F128" s="35">
        <v>1.08</v>
      </c>
      <c r="G128" s="35">
        <v>0.97</v>
      </c>
      <c r="H128" s="35">
        <v>1</v>
      </c>
    </row>
    <row r="129" spans="1:8" x14ac:dyDescent="0.25">
      <c r="A129" s="37" t="s">
        <v>435</v>
      </c>
      <c r="B129" s="37" t="s">
        <v>433</v>
      </c>
      <c r="C129" s="35">
        <v>0.97</v>
      </c>
      <c r="D129" s="35">
        <v>0.99</v>
      </c>
      <c r="E129" s="35">
        <v>1.04</v>
      </c>
      <c r="F129" s="35">
        <v>0.94</v>
      </c>
      <c r="G129" s="35">
        <v>1.06</v>
      </c>
      <c r="H129" s="35">
        <v>1.03</v>
      </c>
    </row>
    <row r="130" spans="1:8" x14ac:dyDescent="0.25">
      <c r="A130" s="37" t="s">
        <v>438</v>
      </c>
      <c r="B130" s="37" t="s">
        <v>436</v>
      </c>
      <c r="C130" s="35">
        <v>0.87</v>
      </c>
      <c r="D130" s="35">
        <v>1.0900000000000001</v>
      </c>
      <c r="E130" s="35">
        <v>1.08</v>
      </c>
      <c r="F130" s="35">
        <v>0.94</v>
      </c>
      <c r="G130" s="35">
        <v>1.07</v>
      </c>
      <c r="H130" s="35">
        <v>1.06</v>
      </c>
    </row>
    <row r="131" spans="1:8" x14ac:dyDescent="0.25">
      <c r="A131" s="37" t="s">
        <v>441</v>
      </c>
      <c r="B131" s="37" t="s">
        <v>439</v>
      </c>
      <c r="C131" s="35">
        <v>0.99</v>
      </c>
      <c r="D131" s="35">
        <v>0.97</v>
      </c>
      <c r="E131" s="35">
        <v>0.92</v>
      </c>
      <c r="F131" s="35">
        <v>1.01</v>
      </c>
      <c r="G131" s="35">
        <v>0.96</v>
      </c>
      <c r="H131" s="35">
        <v>0.99</v>
      </c>
    </row>
    <row r="132" spans="1:8" x14ac:dyDescent="0.25">
      <c r="A132" s="37" t="s">
        <v>444</v>
      </c>
      <c r="B132" s="37" t="s">
        <v>442</v>
      </c>
      <c r="C132" s="35">
        <v>0.98</v>
      </c>
      <c r="D132" s="35">
        <v>1.02</v>
      </c>
      <c r="E132" s="35">
        <v>1.04</v>
      </c>
      <c r="F132" s="35">
        <v>1.01</v>
      </c>
      <c r="G132" s="35">
        <v>0.98</v>
      </c>
      <c r="H132" s="35">
        <v>0.91</v>
      </c>
    </row>
    <row r="133" spans="1:8" x14ac:dyDescent="0.25">
      <c r="A133" s="37" t="s">
        <v>447</v>
      </c>
      <c r="B133" s="37" t="s">
        <v>445</v>
      </c>
      <c r="C133" s="35">
        <v>1.08</v>
      </c>
      <c r="D133" s="35">
        <v>0.86</v>
      </c>
      <c r="E133" s="35">
        <v>0.85</v>
      </c>
      <c r="F133" s="35">
        <v>1.1200000000000001</v>
      </c>
      <c r="G133" s="35">
        <v>1.03</v>
      </c>
      <c r="H133" s="35">
        <v>0.99</v>
      </c>
    </row>
    <row r="134" spans="1:8" x14ac:dyDescent="0.25">
      <c r="A134" s="37" t="s">
        <v>450</v>
      </c>
      <c r="B134" s="37" t="s">
        <v>448</v>
      </c>
      <c r="C134" s="35">
        <v>0.94</v>
      </c>
      <c r="D134" s="35">
        <v>1.02</v>
      </c>
      <c r="E134" s="35">
        <v>0.95</v>
      </c>
      <c r="F134" s="35">
        <v>0.97</v>
      </c>
      <c r="G134" s="35">
        <v>1.1000000000000001</v>
      </c>
      <c r="H134" s="35">
        <v>1.1000000000000001</v>
      </c>
    </row>
    <row r="135" spans="1:8" x14ac:dyDescent="0.25">
      <c r="A135" s="37" t="s">
        <v>454</v>
      </c>
      <c r="B135" s="37" t="s">
        <v>452</v>
      </c>
      <c r="C135" s="35">
        <v>1.1100000000000001</v>
      </c>
      <c r="D135" s="35">
        <v>0.99</v>
      </c>
      <c r="E135" s="35">
        <v>1.03</v>
      </c>
      <c r="F135" s="35">
        <v>1.04</v>
      </c>
      <c r="G135" s="35">
        <v>0.99</v>
      </c>
      <c r="H135" s="35">
        <v>0.95</v>
      </c>
    </row>
    <row r="136" spans="1:8" x14ac:dyDescent="0.25">
      <c r="A136" s="37" t="s">
        <v>457</v>
      </c>
      <c r="B136" s="37" t="s">
        <v>455</v>
      </c>
      <c r="C136" s="35">
        <v>1.02</v>
      </c>
      <c r="D136" s="35">
        <v>1.0900000000000001</v>
      </c>
      <c r="E136" s="35">
        <v>1.05</v>
      </c>
      <c r="F136" s="35">
        <v>1.03</v>
      </c>
      <c r="G136" s="35">
        <v>0.85</v>
      </c>
      <c r="H136" s="35">
        <v>0.86</v>
      </c>
    </row>
    <row r="137" spans="1:8" x14ac:dyDescent="0.25">
      <c r="A137" s="37" t="s">
        <v>460</v>
      </c>
      <c r="B137" s="37" t="s">
        <v>458</v>
      </c>
      <c r="C137" s="35">
        <v>1.05</v>
      </c>
      <c r="D137" s="35">
        <v>0.99</v>
      </c>
      <c r="E137" s="35">
        <v>0.96</v>
      </c>
      <c r="F137" s="35">
        <v>0.97</v>
      </c>
      <c r="G137" s="35">
        <v>1.02</v>
      </c>
      <c r="H137" s="35">
        <v>0.99</v>
      </c>
    </row>
    <row r="138" spans="1:8" x14ac:dyDescent="0.25">
      <c r="A138" s="37" t="s">
        <v>463</v>
      </c>
      <c r="B138" s="37" t="s">
        <v>461</v>
      </c>
      <c r="C138" s="35">
        <v>0.95</v>
      </c>
      <c r="D138" s="35">
        <v>1</v>
      </c>
      <c r="E138" s="35">
        <v>0.99</v>
      </c>
      <c r="F138" s="35">
        <v>0.95</v>
      </c>
      <c r="G138" s="35">
        <v>1.02</v>
      </c>
      <c r="H138" s="35">
        <v>1.04</v>
      </c>
    </row>
    <row r="139" spans="1:8" x14ac:dyDescent="0.25">
      <c r="A139" s="37" t="s">
        <v>466</v>
      </c>
      <c r="B139" s="37" t="s">
        <v>464</v>
      </c>
      <c r="C139" s="35">
        <v>0.99</v>
      </c>
      <c r="D139" s="35">
        <v>1.06</v>
      </c>
      <c r="E139" s="35">
        <v>0.96</v>
      </c>
      <c r="F139" s="35">
        <v>1.01</v>
      </c>
      <c r="G139" s="35">
        <v>1.1100000000000001</v>
      </c>
      <c r="H139" s="35">
        <v>1.07</v>
      </c>
    </row>
    <row r="140" spans="1:8" x14ac:dyDescent="0.25">
      <c r="A140" s="37" t="s">
        <v>469</v>
      </c>
      <c r="B140" s="37" t="s">
        <v>467</v>
      </c>
      <c r="C140" s="35">
        <v>0.97</v>
      </c>
      <c r="D140" s="35">
        <v>0.93</v>
      </c>
      <c r="E140" s="35">
        <v>0.94</v>
      </c>
      <c r="F140" s="35">
        <v>1.02</v>
      </c>
      <c r="G140" s="35">
        <v>0.99</v>
      </c>
      <c r="H140" s="35">
        <v>1.04</v>
      </c>
    </row>
    <row r="141" spans="1:8" x14ac:dyDescent="0.25">
      <c r="A141" s="37" t="s">
        <v>472</v>
      </c>
      <c r="B141" s="37" t="s">
        <v>470</v>
      </c>
      <c r="C141" s="35">
        <v>1.06</v>
      </c>
      <c r="D141" s="35">
        <v>0.92</v>
      </c>
      <c r="E141" s="35">
        <v>0.93</v>
      </c>
      <c r="F141" s="35">
        <v>1.05</v>
      </c>
      <c r="G141" s="35">
        <v>1.07</v>
      </c>
      <c r="H141" s="35">
        <v>1.04</v>
      </c>
    </row>
    <row r="142" spans="1:8" x14ac:dyDescent="0.25">
      <c r="A142" s="37" t="s">
        <v>475</v>
      </c>
      <c r="B142" s="37" t="s">
        <v>473</v>
      </c>
      <c r="C142" s="35">
        <v>0.98</v>
      </c>
      <c r="D142" s="35">
        <v>1.05</v>
      </c>
      <c r="E142" s="35">
        <v>1.06</v>
      </c>
      <c r="F142" s="35">
        <v>0.91</v>
      </c>
      <c r="G142" s="35">
        <v>1.1100000000000001</v>
      </c>
      <c r="H142" s="35">
        <v>0.99</v>
      </c>
    </row>
    <row r="143" spans="1:8" x14ac:dyDescent="0.25">
      <c r="A143" s="37" t="s">
        <v>478</v>
      </c>
      <c r="B143" s="37" t="s">
        <v>476</v>
      </c>
      <c r="C143" s="35">
        <v>1.02</v>
      </c>
      <c r="D143" s="35">
        <v>0.92</v>
      </c>
      <c r="E143" s="35">
        <v>0.9</v>
      </c>
      <c r="F143" s="35">
        <v>1.03</v>
      </c>
      <c r="G143" s="35">
        <v>0.97</v>
      </c>
      <c r="H143" s="35">
        <v>0.92</v>
      </c>
    </row>
    <row r="144" spans="1:8" x14ac:dyDescent="0.25">
      <c r="A144" s="37" t="s">
        <v>481</v>
      </c>
      <c r="B144" s="37" t="s">
        <v>479</v>
      </c>
      <c r="C144" s="35">
        <v>0.91</v>
      </c>
      <c r="D144" s="35">
        <v>1.03</v>
      </c>
      <c r="E144" s="35">
        <v>1.06</v>
      </c>
      <c r="F144" s="35">
        <v>0.91</v>
      </c>
      <c r="G144" s="35">
        <v>0.96</v>
      </c>
      <c r="H144" s="35">
        <v>0.98</v>
      </c>
    </row>
    <row r="145" spans="1:8" x14ac:dyDescent="0.25">
      <c r="A145" s="37" t="s">
        <v>484</v>
      </c>
      <c r="B145" s="37" t="s">
        <v>482</v>
      </c>
      <c r="C145" s="35">
        <v>1.05</v>
      </c>
      <c r="D145" s="35">
        <v>0.97</v>
      </c>
      <c r="E145" s="35">
        <v>1.01</v>
      </c>
      <c r="F145" s="35">
        <v>1.05</v>
      </c>
      <c r="G145" s="35">
        <v>0.92</v>
      </c>
      <c r="H145" s="35">
        <v>0.9</v>
      </c>
    </row>
    <row r="146" spans="1:8" x14ac:dyDescent="0.25">
      <c r="A146" s="37" t="s">
        <v>487</v>
      </c>
      <c r="B146" s="37" t="s">
        <v>485</v>
      </c>
      <c r="C146" s="35">
        <v>1.0900000000000001</v>
      </c>
      <c r="D146" s="35">
        <v>0.98</v>
      </c>
      <c r="E146" s="35">
        <v>0.94</v>
      </c>
      <c r="F146" s="35">
        <v>1.07</v>
      </c>
      <c r="G146" s="35">
        <v>1.0900000000000001</v>
      </c>
      <c r="H146" s="35">
        <v>1.07</v>
      </c>
    </row>
    <row r="147" spans="1:8" x14ac:dyDescent="0.25">
      <c r="A147" s="37" t="s">
        <v>490</v>
      </c>
      <c r="B147" s="37" t="s">
        <v>488</v>
      </c>
      <c r="C147" s="35">
        <v>0.97</v>
      </c>
      <c r="D147" s="35">
        <v>1</v>
      </c>
      <c r="E147" s="35">
        <v>1.03</v>
      </c>
      <c r="F147" s="35">
        <v>0.96</v>
      </c>
      <c r="G147" s="35">
        <v>0.97</v>
      </c>
      <c r="H147" s="35">
        <v>0.96</v>
      </c>
    </row>
    <row r="148" spans="1:8" x14ac:dyDescent="0.25">
      <c r="A148" s="37" t="s">
        <v>493</v>
      </c>
      <c r="B148" s="37" t="s">
        <v>491</v>
      </c>
      <c r="C148" s="35">
        <v>1.06</v>
      </c>
      <c r="D148" s="35">
        <v>1.1299999999999999</v>
      </c>
      <c r="E148" s="35">
        <v>1.05</v>
      </c>
      <c r="F148" s="35">
        <v>1.0900000000000001</v>
      </c>
      <c r="G148" s="35">
        <v>0.89</v>
      </c>
      <c r="H148" s="35">
        <v>0.9</v>
      </c>
    </row>
    <row r="149" spans="1:8" x14ac:dyDescent="0.25">
      <c r="A149" s="37" t="s">
        <v>496</v>
      </c>
      <c r="B149" s="37" t="s">
        <v>494</v>
      </c>
      <c r="C149" s="35">
        <v>1</v>
      </c>
      <c r="D149" s="35">
        <v>0.88</v>
      </c>
      <c r="E149" s="35">
        <v>0.85</v>
      </c>
      <c r="F149" s="35">
        <v>1.05</v>
      </c>
      <c r="G149" s="35">
        <v>0.97</v>
      </c>
      <c r="H149" s="35">
        <v>0.99</v>
      </c>
    </row>
    <row r="150" spans="1:8" x14ac:dyDescent="0.25">
      <c r="A150" s="37" t="s">
        <v>499</v>
      </c>
      <c r="B150" s="37" t="s">
        <v>497</v>
      </c>
      <c r="C150" s="35">
        <v>1.01</v>
      </c>
      <c r="D150" s="35">
        <v>1.0900000000000001</v>
      </c>
      <c r="E150" s="35">
        <v>1</v>
      </c>
      <c r="F150" s="35">
        <v>1.01</v>
      </c>
      <c r="G150" s="35">
        <v>1.03</v>
      </c>
      <c r="H150" s="35">
        <v>1.01</v>
      </c>
    </row>
    <row r="151" spans="1:8" x14ac:dyDescent="0.25">
      <c r="A151" s="37" t="s">
        <v>503</v>
      </c>
      <c r="B151" s="37" t="s">
        <v>501</v>
      </c>
      <c r="C151" s="35">
        <v>1.1000000000000001</v>
      </c>
      <c r="D151" s="35">
        <v>1.05</v>
      </c>
      <c r="E151" s="35">
        <v>1.03</v>
      </c>
      <c r="F151" s="35">
        <v>1.1100000000000001</v>
      </c>
      <c r="G151" s="35">
        <v>0.96</v>
      </c>
      <c r="H151" s="35">
        <v>0.98</v>
      </c>
    </row>
    <row r="152" spans="1:8" x14ac:dyDescent="0.25">
      <c r="A152" s="37" t="s">
        <v>506</v>
      </c>
      <c r="B152" s="37" t="s">
        <v>504</v>
      </c>
      <c r="C152" s="35">
        <v>0.96</v>
      </c>
      <c r="D152" s="35">
        <v>0.98</v>
      </c>
      <c r="E152" s="35">
        <v>0.91</v>
      </c>
      <c r="F152" s="35">
        <v>0.95</v>
      </c>
      <c r="G152" s="35">
        <v>1.07</v>
      </c>
      <c r="H152" s="35">
        <v>1.05</v>
      </c>
    </row>
    <row r="153" spans="1:8" x14ac:dyDescent="0.25">
      <c r="A153" s="37" t="s">
        <v>509</v>
      </c>
      <c r="B153" s="37" t="s">
        <v>507</v>
      </c>
      <c r="C153" s="35">
        <v>0.97</v>
      </c>
      <c r="D153" s="35">
        <v>1</v>
      </c>
      <c r="E153" s="35">
        <v>1</v>
      </c>
      <c r="F153" s="35">
        <v>1</v>
      </c>
      <c r="G153" s="35">
        <v>0.99</v>
      </c>
      <c r="H153" s="35">
        <v>0.99</v>
      </c>
    </row>
    <row r="154" spans="1:8" x14ac:dyDescent="0.25">
      <c r="A154" s="37" t="s">
        <v>512</v>
      </c>
      <c r="B154" s="37" t="s">
        <v>510</v>
      </c>
      <c r="C154" s="35">
        <v>0.88</v>
      </c>
      <c r="D154" s="35">
        <v>1.07</v>
      </c>
      <c r="E154" s="35">
        <v>1.04</v>
      </c>
      <c r="F154" s="35">
        <v>0.99</v>
      </c>
      <c r="G154" s="35">
        <v>1.06</v>
      </c>
      <c r="H154" s="35">
        <v>1.1499999999999999</v>
      </c>
    </row>
    <row r="155" spans="1:8" x14ac:dyDescent="0.25">
      <c r="A155" s="37" t="s">
        <v>515</v>
      </c>
      <c r="B155" s="37" t="s">
        <v>513</v>
      </c>
      <c r="C155" s="35">
        <v>0.97</v>
      </c>
      <c r="D155" s="35">
        <v>0.99</v>
      </c>
      <c r="E155" s="35">
        <v>0.91</v>
      </c>
      <c r="F155" s="35">
        <v>0.98</v>
      </c>
      <c r="G155" s="35">
        <v>1.05</v>
      </c>
      <c r="H155" s="35">
        <v>1.06</v>
      </c>
    </row>
    <row r="156" spans="1:8" x14ac:dyDescent="0.25">
      <c r="A156" s="37" t="s">
        <v>518</v>
      </c>
      <c r="B156" s="37" t="s">
        <v>516</v>
      </c>
      <c r="C156" s="35">
        <v>0.97</v>
      </c>
      <c r="D156" s="35">
        <v>0.85</v>
      </c>
      <c r="E156" s="35">
        <v>0.85</v>
      </c>
      <c r="F156" s="35">
        <v>1.05</v>
      </c>
      <c r="G156" s="35">
        <v>1.05</v>
      </c>
      <c r="H156" s="35">
        <v>1.02</v>
      </c>
    </row>
    <row r="157" spans="1:8" x14ac:dyDescent="0.25">
      <c r="A157" s="37" t="s">
        <v>521</v>
      </c>
      <c r="B157" s="37" t="s">
        <v>519</v>
      </c>
      <c r="C157" s="35">
        <v>0.93</v>
      </c>
      <c r="D157" s="35">
        <v>1.1200000000000001</v>
      </c>
      <c r="E157" s="35">
        <v>1.1100000000000001</v>
      </c>
      <c r="F157" s="35">
        <v>0.93</v>
      </c>
      <c r="G157" s="35">
        <v>1.02</v>
      </c>
      <c r="H157" s="35">
        <v>1.03</v>
      </c>
    </row>
    <row r="158" spans="1:8" x14ac:dyDescent="0.25">
      <c r="A158" s="37" t="s">
        <v>524</v>
      </c>
      <c r="B158" s="37" t="s">
        <v>522</v>
      </c>
      <c r="C158" s="35">
        <v>1.04</v>
      </c>
      <c r="D158" s="35">
        <v>1.03</v>
      </c>
      <c r="E158" s="35">
        <v>1.04</v>
      </c>
      <c r="F158" s="35">
        <v>1.02</v>
      </c>
      <c r="G158" s="35">
        <v>1.07</v>
      </c>
      <c r="H158" s="35">
        <v>1.07</v>
      </c>
    </row>
    <row r="159" spans="1:8" x14ac:dyDescent="0.25">
      <c r="A159" s="37" t="s">
        <v>527</v>
      </c>
      <c r="B159" s="37" t="s">
        <v>525</v>
      </c>
      <c r="C159" s="35">
        <v>1.07</v>
      </c>
      <c r="D159" s="35">
        <v>1.02</v>
      </c>
      <c r="E159" s="35">
        <v>1.01</v>
      </c>
      <c r="F159" s="35">
        <v>1.03</v>
      </c>
      <c r="G159" s="35">
        <v>1.03</v>
      </c>
      <c r="H159" s="35">
        <v>0.99</v>
      </c>
    </row>
    <row r="160" spans="1:8" x14ac:dyDescent="0.25">
      <c r="A160" s="37" t="s">
        <v>530</v>
      </c>
      <c r="B160" s="37" t="s">
        <v>528</v>
      </c>
      <c r="C160" s="35">
        <v>0.95</v>
      </c>
      <c r="D160" s="35">
        <v>1.1200000000000001</v>
      </c>
      <c r="E160" s="35">
        <v>1.1100000000000001</v>
      </c>
      <c r="F160" s="35">
        <v>1</v>
      </c>
      <c r="G160" s="35">
        <v>1.01</v>
      </c>
      <c r="H160" s="35">
        <v>0.94</v>
      </c>
    </row>
    <row r="161" spans="1:8" x14ac:dyDescent="0.25">
      <c r="A161" s="37" t="s">
        <v>533</v>
      </c>
      <c r="B161" s="37" t="s">
        <v>531</v>
      </c>
      <c r="C161" s="35">
        <v>0.99</v>
      </c>
      <c r="D161" s="35">
        <v>0.98</v>
      </c>
      <c r="E161" s="35">
        <v>1.04</v>
      </c>
      <c r="F161" s="35">
        <v>0.96</v>
      </c>
      <c r="G161" s="35">
        <v>0.93</v>
      </c>
      <c r="H161" s="35">
        <v>0.98</v>
      </c>
    </row>
    <row r="162" spans="1:8" x14ac:dyDescent="0.25">
      <c r="A162" s="37" t="s">
        <v>536</v>
      </c>
      <c r="B162" s="37" t="s">
        <v>534</v>
      </c>
      <c r="C162" s="35">
        <v>0.94</v>
      </c>
      <c r="D162" s="35">
        <v>1.01</v>
      </c>
      <c r="E162" s="35">
        <v>1.08</v>
      </c>
      <c r="F162" s="35">
        <v>0.87</v>
      </c>
      <c r="G162" s="35">
        <v>1.03</v>
      </c>
      <c r="H162" s="35">
        <v>1.03</v>
      </c>
    </row>
    <row r="163" spans="1:8" x14ac:dyDescent="0.25">
      <c r="A163" s="37" t="s">
        <v>539</v>
      </c>
      <c r="B163" s="37" t="s">
        <v>537</v>
      </c>
      <c r="C163" s="35">
        <v>1.04</v>
      </c>
      <c r="D163" s="35">
        <v>0.95</v>
      </c>
      <c r="E163" s="35">
        <v>0.94</v>
      </c>
      <c r="F163" s="35">
        <v>1.01</v>
      </c>
      <c r="G163" s="35">
        <v>1.02</v>
      </c>
      <c r="H163" s="35">
        <v>1</v>
      </c>
    </row>
    <row r="164" spans="1:8" x14ac:dyDescent="0.25">
      <c r="A164" s="37" t="s">
        <v>542</v>
      </c>
      <c r="B164" s="37" t="s">
        <v>540</v>
      </c>
      <c r="C164" s="35">
        <v>1.1499999999999999</v>
      </c>
      <c r="D164" s="35">
        <v>0.85</v>
      </c>
      <c r="E164" s="35">
        <v>0.88</v>
      </c>
      <c r="F164" s="35">
        <v>1.08</v>
      </c>
      <c r="G164" s="35">
        <v>1.03</v>
      </c>
      <c r="H164" s="35">
        <v>1.05</v>
      </c>
    </row>
    <row r="165" spans="1:8" x14ac:dyDescent="0.25">
      <c r="A165" s="37" t="s">
        <v>545</v>
      </c>
      <c r="B165" s="37" t="s">
        <v>543</v>
      </c>
      <c r="C165" s="35">
        <v>0.96</v>
      </c>
      <c r="D165" s="35">
        <v>0.95</v>
      </c>
      <c r="E165" s="35">
        <v>0.99</v>
      </c>
      <c r="F165" s="35">
        <v>0.97</v>
      </c>
      <c r="G165" s="35">
        <v>1.05</v>
      </c>
      <c r="H165" s="35">
        <v>1.0900000000000001</v>
      </c>
    </row>
    <row r="166" spans="1:8" x14ac:dyDescent="0.25">
      <c r="A166" s="37" t="s">
        <v>548</v>
      </c>
      <c r="B166" s="37" t="s">
        <v>546</v>
      </c>
      <c r="C166" s="35">
        <v>1.04</v>
      </c>
      <c r="D166" s="35">
        <v>1.1499999999999999</v>
      </c>
      <c r="E166" s="35">
        <v>1.1399999999999999</v>
      </c>
      <c r="F166" s="35">
        <v>1.04</v>
      </c>
      <c r="G166" s="35">
        <v>0.92</v>
      </c>
      <c r="H166" s="35">
        <v>1</v>
      </c>
    </row>
    <row r="167" spans="1:8" x14ac:dyDescent="0.25">
      <c r="A167" s="37" t="s">
        <v>552</v>
      </c>
      <c r="B167" s="37" t="s">
        <v>550</v>
      </c>
      <c r="C167" s="35">
        <v>0.99</v>
      </c>
      <c r="D167" s="35">
        <v>1.1100000000000001</v>
      </c>
      <c r="E167" s="35">
        <v>1.0900000000000001</v>
      </c>
      <c r="F167" s="35">
        <v>1.1000000000000001</v>
      </c>
      <c r="G167" s="35">
        <v>0.98</v>
      </c>
      <c r="H167" s="35">
        <v>0.96</v>
      </c>
    </row>
    <row r="168" spans="1:8" x14ac:dyDescent="0.25">
      <c r="A168" s="37" t="s">
        <v>555</v>
      </c>
      <c r="B168" s="37" t="s">
        <v>553</v>
      </c>
      <c r="C168" s="35">
        <v>1.02</v>
      </c>
      <c r="D168" s="35">
        <v>0.97</v>
      </c>
      <c r="E168" s="35">
        <v>0.91</v>
      </c>
      <c r="F168" s="35">
        <v>1.02</v>
      </c>
      <c r="G168" s="35">
        <v>1.06</v>
      </c>
      <c r="H168" s="35">
        <v>1.1499999999999999</v>
      </c>
    </row>
    <row r="169" spans="1:8" x14ac:dyDescent="0.25">
      <c r="A169" s="37" t="s">
        <v>558</v>
      </c>
      <c r="B169" s="37" t="s">
        <v>556</v>
      </c>
      <c r="C169" s="35">
        <v>0.89</v>
      </c>
      <c r="D169" s="35">
        <v>0.93</v>
      </c>
      <c r="E169" s="35">
        <v>0.87</v>
      </c>
      <c r="F169" s="35">
        <v>1</v>
      </c>
      <c r="G169" s="35">
        <v>1.01</v>
      </c>
      <c r="H169" s="35">
        <v>1.1000000000000001</v>
      </c>
    </row>
    <row r="170" spans="1:8" x14ac:dyDescent="0.25">
      <c r="A170" s="37" t="s">
        <v>561</v>
      </c>
      <c r="B170" s="37" t="s">
        <v>559</v>
      </c>
      <c r="C170" s="35">
        <v>0.9</v>
      </c>
      <c r="D170" s="35">
        <v>0.85</v>
      </c>
      <c r="E170" s="35">
        <v>0.85</v>
      </c>
      <c r="F170" s="35">
        <v>0.94</v>
      </c>
      <c r="G170" s="35">
        <v>1.08</v>
      </c>
      <c r="H170" s="35">
        <v>1.1299999999999999</v>
      </c>
    </row>
    <row r="171" spans="1:8" x14ac:dyDescent="0.25">
      <c r="A171" s="37" t="s">
        <v>564</v>
      </c>
      <c r="B171" s="37" t="s">
        <v>562</v>
      </c>
      <c r="C171" s="35">
        <v>0.96</v>
      </c>
      <c r="D171" s="35">
        <v>1.0900000000000001</v>
      </c>
      <c r="E171" s="35">
        <v>1.08</v>
      </c>
      <c r="F171" s="35">
        <v>0.93</v>
      </c>
      <c r="G171" s="35">
        <v>0.96</v>
      </c>
      <c r="H171" s="35">
        <v>0.97</v>
      </c>
    </row>
    <row r="172" spans="1:8" x14ac:dyDescent="0.25">
      <c r="A172" s="37" t="s">
        <v>567</v>
      </c>
      <c r="B172" s="37" t="s">
        <v>565</v>
      </c>
      <c r="C172" s="35">
        <v>1.1000000000000001</v>
      </c>
      <c r="D172" s="35">
        <v>0.93</v>
      </c>
      <c r="E172" s="35">
        <v>1.02</v>
      </c>
      <c r="F172" s="35">
        <v>1.06</v>
      </c>
      <c r="G172" s="35">
        <v>1.01</v>
      </c>
      <c r="H172" s="35">
        <v>0.99</v>
      </c>
    </row>
    <row r="173" spans="1:8" x14ac:dyDescent="0.25">
      <c r="A173" s="37" t="s">
        <v>570</v>
      </c>
      <c r="B173" s="37" t="s">
        <v>568</v>
      </c>
      <c r="C173" s="35">
        <v>0.96</v>
      </c>
      <c r="D173" s="35">
        <v>0.94</v>
      </c>
      <c r="E173" s="35">
        <v>0.97</v>
      </c>
      <c r="F173" s="35">
        <v>0.96</v>
      </c>
      <c r="G173" s="35">
        <v>1.0900000000000001</v>
      </c>
      <c r="H173" s="35">
        <v>1.06</v>
      </c>
    </row>
    <row r="174" spans="1:8" x14ac:dyDescent="0.25">
      <c r="A174" s="37" t="s">
        <v>573</v>
      </c>
      <c r="B174" s="37" t="s">
        <v>571</v>
      </c>
      <c r="C174" s="35">
        <v>1.1000000000000001</v>
      </c>
      <c r="D174" s="35">
        <v>1.0900000000000001</v>
      </c>
      <c r="E174" s="35">
        <v>1.0900000000000001</v>
      </c>
      <c r="F174" s="35">
        <v>1.1100000000000001</v>
      </c>
      <c r="G174" s="35">
        <v>0.97</v>
      </c>
      <c r="H174" s="35">
        <v>1.03</v>
      </c>
    </row>
    <row r="175" spans="1:8" x14ac:dyDescent="0.25">
      <c r="A175" s="37" t="s">
        <v>575</v>
      </c>
      <c r="B175" s="37" t="s">
        <v>4</v>
      </c>
      <c r="C175" s="35">
        <v>1.1000000000000001</v>
      </c>
      <c r="D175" s="35">
        <v>1.38</v>
      </c>
      <c r="E175" s="35">
        <v>1.3</v>
      </c>
      <c r="F175" s="35">
        <v>1.1000000000000001</v>
      </c>
      <c r="G175" s="35">
        <v>1.05</v>
      </c>
      <c r="H175" s="35">
        <v>1.18</v>
      </c>
    </row>
    <row r="176" spans="1:8" x14ac:dyDescent="0.25">
      <c r="A176" s="37" t="s">
        <v>578</v>
      </c>
      <c r="B176" s="37" t="s">
        <v>576</v>
      </c>
      <c r="C176" s="35">
        <v>0.99</v>
      </c>
      <c r="D176" s="35">
        <v>1.04</v>
      </c>
      <c r="E176" s="35">
        <v>0.97</v>
      </c>
      <c r="F176" s="35">
        <v>1.01</v>
      </c>
      <c r="G176" s="35">
        <v>0.92</v>
      </c>
      <c r="H176" s="35">
        <v>0.94</v>
      </c>
    </row>
    <row r="177" spans="1:8" x14ac:dyDescent="0.25">
      <c r="A177" s="37" t="s">
        <v>581</v>
      </c>
      <c r="B177" s="37" t="s">
        <v>579</v>
      </c>
      <c r="C177" s="35">
        <v>1</v>
      </c>
      <c r="D177" s="35">
        <v>1.04</v>
      </c>
      <c r="E177" s="35">
        <v>0.93</v>
      </c>
      <c r="F177" s="35">
        <v>1.06</v>
      </c>
      <c r="G177" s="35">
        <v>0.85</v>
      </c>
      <c r="H177" s="35">
        <v>0.86</v>
      </c>
    </row>
    <row r="178" spans="1:8" x14ac:dyDescent="0.25">
      <c r="A178" s="37" t="s">
        <v>584</v>
      </c>
      <c r="B178" s="37" t="s">
        <v>582</v>
      </c>
      <c r="C178" s="35">
        <v>1.04</v>
      </c>
      <c r="D178" s="35">
        <v>0.93</v>
      </c>
      <c r="E178" s="35">
        <v>0.92</v>
      </c>
      <c r="F178" s="35">
        <v>1.05</v>
      </c>
      <c r="G178" s="35">
        <v>0.96</v>
      </c>
      <c r="H178" s="35">
        <v>0.96</v>
      </c>
    </row>
    <row r="179" spans="1:8" x14ac:dyDescent="0.25">
      <c r="A179" s="37" t="s">
        <v>587</v>
      </c>
      <c r="B179" s="37" t="s">
        <v>585</v>
      </c>
      <c r="C179" s="35">
        <v>0.99</v>
      </c>
      <c r="D179" s="35">
        <v>1.03</v>
      </c>
      <c r="E179" s="35">
        <v>1.02</v>
      </c>
      <c r="F179" s="35">
        <v>1.01</v>
      </c>
      <c r="G179" s="35">
        <v>0.94</v>
      </c>
      <c r="H179" s="35">
        <v>0.95</v>
      </c>
    </row>
    <row r="180" spans="1:8" x14ac:dyDescent="0.25">
      <c r="A180" s="37" t="s">
        <v>590</v>
      </c>
      <c r="B180" s="37" t="s">
        <v>588</v>
      </c>
      <c r="C180" s="35">
        <v>1.01</v>
      </c>
      <c r="D180" s="35">
        <v>0.95</v>
      </c>
      <c r="E180" s="35">
        <v>0.95</v>
      </c>
      <c r="F180" s="35">
        <v>1.01</v>
      </c>
      <c r="G180" s="35">
        <v>0.99</v>
      </c>
      <c r="H180" s="35">
        <v>1.06</v>
      </c>
    </row>
    <row r="181" spans="1:8" x14ac:dyDescent="0.25">
      <c r="A181" s="37" t="s">
        <v>593</v>
      </c>
      <c r="B181" s="37" t="s">
        <v>591</v>
      </c>
      <c r="C181" s="35">
        <v>1.1499999999999999</v>
      </c>
      <c r="D181" s="35">
        <v>0.98</v>
      </c>
      <c r="E181" s="35">
        <v>0.99</v>
      </c>
      <c r="F181" s="35">
        <v>1.1499999999999999</v>
      </c>
      <c r="G181" s="35">
        <v>1.02</v>
      </c>
      <c r="H181" s="35">
        <v>0.94</v>
      </c>
    </row>
    <row r="182" spans="1:8" x14ac:dyDescent="0.25">
      <c r="A182" s="37" t="s">
        <v>596</v>
      </c>
      <c r="B182" s="37" t="s">
        <v>594</v>
      </c>
      <c r="C182" s="35">
        <v>1.1000000000000001</v>
      </c>
      <c r="D182" s="35">
        <v>1.04</v>
      </c>
      <c r="E182" s="35">
        <v>1.07</v>
      </c>
      <c r="F182" s="35">
        <v>1.08</v>
      </c>
      <c r="G182" s="35">
        <v>0.97</v>
      </c>
      <c r="H182" s="35">
        <v>0.88</v>
      </c>
    </row>
    <row r="183" spans="1:8" x14ac:dyDescent="0.25">
      <c r="A183" s="37" t="s">
        <v>600</v>
      </c>
      <c r="B183" s="37" t="s">
        <v>598</v>
      </c>
      <c r="C183" s="35">
        <v>1</v>
      </c>
      <c r="D183" s="35">
        <v>1.05</v>
      </c>
      <c r="E183" s="35">
        <v>1.06</v>
      </c>
      <c r="F183" s="35">
        <v>0.95</v>
      </c>
      <c r="G183" s="35">
        <v>0.94</v>
      </c>
      <c r="H183" s="35">
        <v>0.94</v>
      </c>
    </row>
    <row r="184" spans="1:8" x14ac:dyDescent="0.25">
      <c r="A184" s="37" t="s">
        <v>603</v>
      </c>
      <c r="B184" s="37" t="s">
        <v>601</v>
      </c>
      <c r="C184" s="35">
        <v>0.97</v>
      </c>
      <c r="D184" s="35">
        <v>0.91</v>
      </c>
      <c r="E184" s="35">
        <v>0.91</v>
      </c>
      <c r="F184" s="35">
        <v>0.99</v>
      </c>
      <c r="G184" s="35">
        <v>1</v>
      </c>
      <c r="H184" s="35">
        <v>0.97</v>
      </c>
    </row>
    <row r="185" spans="1:8" x14ac:dyDescent="0.25">
      <c r="A185" s="37" t="s">
        <v>606</v>
      </c>
      <c r="B185" s="37" t="s">
        <v>604</v>
      </c>
      <c r="C185" s="35">
        <v>1.01</v>
      </c>
      <c r="D185" s="35">
        <v>0.94</v>
      </c>
      <c r="E185" s="35">
        <v>0.98</v>
      </c>
      <c r="F185" s="35">
        <v>0.99</v>
      </c>
      <c r="G185" s="35">
        <v>1.04</v>
      </c>
      <c r="H185" s="35">
        <v>1.04</v>
      </c>
    </row>
    <row r="186" spans="1:8" x14ac:dyDescent="0.25">
      <c r="A186" s="37" t="s">
        <v>609</v>
      </c>
      <c r="B186" s="37" t="s">
        <v>607</v>
      </c>
      <c r="C186" s="35">
        <v>0.91</v>
      </c>
      <c r="D186" s="35">
        <v>0.86</v>
      </c>
      <c r="E186" s="35">
        <v>0.92</v>
      </c>
      <c r="F186" s="35">
        <v>0.94</v>
      </c>
      <c r="G186" s="35">
        <v>1.1499999999999999</v>
      </c>
      <c r="H186" s="35">
        <v>1.1399999999999999</v>
      </c>
    </row>
    <row r="187" spans="1:8" x14ac:dyDescent="0.25">
      <c r="A187" s="37" t="s">
        <v>612</v>
      </c>
      <c r="B187" s="37" t="s">
        <v>610</v>
      </c>
      <c r="C187" s="35">
        <v>0.99</v>
      </c>
      <c r="D187" s="35">
        <v>0.97</v>
      </c>
      <c r="E187" s="35">
        <v>0.94</v>
      </c>
      <c r="F187" s="35">
        <v>1.08</v>
      </c>
      <c r="G187" s="35">
        <v>1.01</v>
      </c>
      <c r="H187" s="35">
        <v>0.99</v>
      </c>
    </row>
    <row r="188" spans="1:8" x14ac:dyDescent="0.25">
      <c r="A188" s="37" t="s">
        <v>615</v>
      </c>
      <c r="B188" s="37" t="s">
        <v>613</v>
      </c>
      <c r="C188" s="35">
        <v>0.85</v>
      </c>
      <c r="D188" s="35">
        <v>0.99</v>
      </c>
      <c r="E188" s="35">
        <v>1.02</v>
      </c>
      <c r="F188" s="35">
        <v>0.87</v>
      </c>
      <c r="G188" s="35">
        <v>1.07</v>
      </c>
      <c r="H188" s="35">
        <v>1.04</v>
      </c>
    </row>
    <row r="189" spans="1:8" x14ac:dyDescent="0.25">
      <c r="A189" s="37" t="s">
        <v>618</v>
      </c>
      <c r="B189" s="37" t="s">
        <v>616</v>
      </c>
      <c r="C189" s="35">
        <v>0.99</v>
      </c>
      <c r="D189" s="35">
        <v>0.91</v>
      </c>
      <c r="E189" s="35">
        <v>0.94</v>
      </c>
      <c r="F189" s="35">
        <v>0.98</v>
      </c>
      <c r="G189" s="35">
        <v>1</v>
      </c>
      <c r="H189" s="35">
        <v>1</v>
      </c>
    </row>
    <row r="190" spans="1:8" x14ac:dyDescent="0.25">
      <c r="A190" s="37" t="s">
        <v>621</v>
      </c>
      <c r="B190" s="37" t="s">
        <v>619</v>
      </c>
      <c r="C190" s="35">
        <v>1.1499999999999999</v>
      </c>
      <c r="D190" s="35">
        <v>1.06</v>
      </c>
      <c r="E190" s="35">
        <v>0.99</v>
      </c>
      <c r="F190" s="35">
        <v>1.1499999999999999</v>
      </c>
      <c r="G190" s="35">
        <v>0.99</v>
      </c>
      <c r="H190" s="35">
        <v>0.96</v>
      </c>
    </row>
    <row r="191" spans="1:8" x14ac:dyDescent="0.25">
      <c r="A191" s="37" t="s">
        <v>624</v>
      </c>
      <c r="B191" s="37" t="s">
        <v>622</v>
      </c>
      <c r="C191" s="35">
        <v>0.86</v>
      </c>
      <c r="D191" s="35">
        <v>0.92</v>
      </c>
      <c r="E191" s="35">
        <v>0.91</v>
      </c>
      <c r="F191" s="35">
        <v>0.92</v>
      </c>
      <c r="G191" s="35">
        <v>1.08</v>
      </c>
      <c r="H191" s="35">
        <v>1.0900000000000001</v>
      </c>
    </row>
    <row r="192" spans="1:8" x14ac:dyDescent="0.25">
      <c r="A192" s="37" t="s">
        <v>627</v>
      </c>
      <c r="B192" s="37" t="s">
        <v>625</v>
      </c>
      <c r="C192" s="35">
        <v>1.08</v>
      </c>
      <c r="D192" s="35">
        <v>1.07</v>
      </c>
      <c r="E192" s="35">
        <v>0.99</v>
      </c>
      <c r="F192" s="35">
        <v>1.07</v>
      </c>
      <c r="G192" s="35">
        <v>1.03</v>
      </c>
      <c r="H192" s="35">
        <v>1</v>
      </c>
    </row>
    <row r="193" spans="1:8" x14ac:dyDescent="0.25">
      <c r="A193" s="37" t="s">
        <v>630</v>
      </c>
      <c r="B193" s="37" t="s">
        <v>628</v>
      </c>
      <c r="C193" s="35">
        <v>0.94</v>
      </c>
      <c r="D193" s="35">
        <v>1.05</v>
      </c>
      <c r="E193" s="35">
        <v>1.04</v>
      </c>
      <c r="F193" s="35">
        <v>1.05</v>
      </c>
      <c r="G193" s="35">
        <v>0.85</v>
      </c>
      <c r="H193" s="35">
        <v>0.87</v>
      </c>
    </row>
    <row r="194" spans="1:8" x14ac:dyDescent="0.25">
      <c r="A194" s="37" t="s">
        <v>633</v>
      </c>
      <c r="B194" s="37" t="s">
        <v>631</v>
      </c>
      <c r="C194" s="35">
        <v>0.93</v>
      </c>
      <c r="D194" s="35">
        <v>0.99</v>
      </c>
      <c r="E194" s="35">
        <v>0.95</v>
      </c>
      <c r="F194" s="35">
        <v>0.98</v>
      </c>
      <c r="G194" s="35">
        <v>1.07</v>
      </c>
      <c r="H194" s="35">
        <v>1.06</v>
      </c>
    </row>
    <row r="195" spans="1:8" x14ac:dyDescent="0.25">
      <c r="A195" s="37" t="s">
        <v>636</v>
      </c>
      <c r="B195" s="37" t="s">
        <v>634</v>
      </c>
      <c r="C195" s="35">
        <v>1.1200000000000001</v>
      </c>
      <c r="D195" s="35">
        <v>0.98</v>
      </c>
      <c r="E195" s="35">
        <v>0.95</v>
      </c>
      <c r="F195" s="35">
        <v>1.06</v>
      </c>
      <c r="G195" s="35">
        <v>0.96</v>
      </c>
      <c r="H195" s="35">
        <v>0.95</v>
      </c>
    </row>
    <row r="196" spans="1:8" x14ac:dyDescent="0.25">
      <c r="A196" s="37" t="s">
        <v>639</v>
      </c>
      <c r="B196" s="37" t="s">
        <v>637</v>
      </c>
      <c r="C196" s="35">
        <v>0.98</v>
      </c>
      <c r="D196" s="35">
        <v>1.01</v>
      </c>
      <c r="E196" s="35">
        <v>1.04</v>
      </c>
      <c r="F196" s="35">
        <v>0.98</v>
      </c>
      <c r="G196" s="35">
        <v>0.97</v>
      </c>
      <c r="H196" s="35">
        <v>0.96</v>
      </c>
    </row>
    <row r="197" spans="1:8" x14ac:dyDescent="0.25">
      <c r="A197" s="37" t="s">
        <v>642</v>
      </c>
      <c r="B197" s="37" t="s">
        <v>640</v>
      </c>
      <c r="C197" s="35">
        <v>1.05</v>
      </c>
      <c r="D197" s="35">
        <v>1.03</v>
      </c>
      <c r="E197" s="35">
        <v>1.01</v>
      </c>
      <c r="F197" s="35">
        <v>1.05</v>
      </c>
      <c r="G197" s="35">
        <v>0.96</v>
      </c>
      <c r="H197" s="35">
        <v>1.06</v>
      </c>
    </row>
    <row r="198" spans="1:8" x14ac:dyDescent="0.25">
      <c r="A198" s="37" t="s">
        <v>645</v>
      </c>
      <c r="B198" s="37" t="s">
        <v>643</v>
      </c>
      <c r="C198" s="35">
        <v>0.97</v>
      </c>
      <c r="D198" s="35">
        <v>0.98</v>
      </c>
      <c r="E198" s="35">
        <v>0.96</v>
      </c>
      <c r="F198" s="35">
        <v>0.94</v>
      </c>
      <c r="G198" s="35">
        <v>1.04</v>
      </c>
      <c r="H198" s="35">
        <v>0.99</v>
      </c>
    </row>
    <row r="199" spans="1:8" x14ac:dyDescent="0.25">
      <c r="A199" s="37" t="s">
        <v>649</v>
      </c>
      <c r="B199" s="37" t="s">
        <v>647</v>
      </c>
      <c r="C199" s="35">
        <v>1.06</v>
      </c>
      <c r="D199" s="35">
        <v>1.0900000000000001</v>
      </c>
      <c r="E199" s="35">
        <v>1.03</v>
      </c>
      <c r="F199" s="35">
        <v>1.06</v>
      </c>
      <c r="G199" s="35">
        <v>0.96</v>
      </c>
      <c r="H199" s="35">
        <v>0.92</v>
      </c>
    </row>
    <row r="200" spans="1:8" x14ac:dyDescent="0.25">
      <c r="A200" s="37" t="s">
        <v>652</v>
      </c>
      <c r="B200" s="37" t="s">
        <v>650</v>
      </c>
      <c r="C200" s="35">
        <v>1.01</v>
      </c>
      <c r="D200" s="35">
        <v>0.96</v>
      </c>
      <c r="E200" s="35">
        <v>1.01</v>
      </c>
      <c r="F200" s="35">
        <v>1.02</v>
      </c>
      <c r="G200" s="35">
        <v>1.04</v>
      </c>
      <c r="H200" s="35">
        <v>1.1000000000000001</v>
      </c>
    </row>
    <row r="201" spans="1:8" x14ac:dyDescent="0.25">
      <c r="A201" s="37" t="s">
        <v>655</v>
      </c>
      <c r="B201" s="37" t="s">
        <v>653</v>
      </c>
      <c r="C201" s="35">
        <v>1.07</v>
      </c>
      <c r="D201" s="35">
        <v>1.1100000000000001</v>
      </c>
      <c r="E201" s="35">
        <v>1.1000000000000001</v>
      </c>
      <c r="F201" s="35">
        <v>1.1200000000000001</v>
      </c>
      <c r="G201" s="35">
        <v>0.91</v>
      </c>
      <c r="H201" s="35">
        <v>0.88</v>
      </c>
    </row>
    <row r="202" spans="1:8" x14ac:dyDescent="0.25">
      <c r="A202" s="37" t="s">
        <v>658</v>
      </c>
      <c r="B202" s="37" t="s">
        <v>656</v>
      </c>
      <c r="C202" s="35">
        <v>0.94</v>
      </c>
      <c r="D202" s="35">
        <v>1.03</v>
      </c>
      <c r="E202" s="35">
        <v>1.03</v>
      </c>
      <c r="F202" s="35">
        <v>0.99</v>
      </c>
      <c r="G202" s="35">
        <v>0.98</v>
      </c>
      <c r="H202" s="35">
        <v>1.01</v>
      </c>
    </row>
    <row r="203" spans="1:8" x14ac:dyDescent="0.25">
      <c r="A203" s="37" t="s">
        <v>661</v>
      </c>
      <c r="B203" s="37" t="s">
        <v>659</v>
      </c>
      <c r="C203" s="35">
        <v>1.05</v>
      </c>
      <c r="D203" s="35">
        <v>1.03</v>
      </c>
      <c r="E203" s="35">
        <v>0.93</v>
      </c>
      <c r="F203" s="35">
        <v>0.99</v>
      </c>
      <c r="G203" s="35">
        <v>0.99</v>
      </c>
      <c r="H203" s="35">
        <v>0.99</v>
      </c>
    </row>
    <row r="204" spans="1:8" x14ac:dyDescent="0.25">
      <c r="A204" s="37" t="s">
        <v>664</v>
      </c>
      <c r="B204" s="37" t="s">
        <v>662</v>
      </c>
      <c r="C204" s="35">
        <v>1.06</v>
      </c>
      <c r="D204" s="35">
        <v>1.1000000000000001</v>
      </c>
      <c r="E204" s="35">
        <v>1.07</v>
      </c>
      <c r="F204" s="35">
        <v>1.03</v>
      </c>
      <c r="G204" s="35">
        <v>0.95</v>
      </c>
      <c r="H204" s="35">
        <v>0.95</v>
      </c>
    </row>
    <row r="205" spans="1:8" x14ac:dyDescent="0.25">
      <c r="A205" s="37" t="s">
        <v>667</v>
      </c>
      <c r="B205" s="37" t="s">
        <v>665</v>
      </c>
      <c r="C205" s="35">
        <v>1.1100000000000001</v>
      </c>
      <c r="D205" s="35">
        <v>0.95</v>
      </c>
      <c r="E205" s="35">
        <v>0.98</v>
      </c>
      <c r="F205" s="35">
        <v>1.07</v>
      </c>
      <c r="G205" s="35">
        <v>1.03</v>
      </c>
      <c r="H205" s="35">
        <v>1.04</v>
      </c>
    </row>
    <row r="206" spans="1:8" x14ac:dyDescent="0.25">
      <c r="A206" s="37" t="s">
        <v>670</v>
      </c>
      <c r="B206" s="37" t="s">
        <v>668</v>
      </c>
      <c r="C206" s="35">
        <v>0.99</v>
      </c>
      <c r="D206" s="35">
        <v>0.86</v>
      </c>
      <c r="E206" s="35">
        <v>0.92</v>
      </c>
      <c r="F206" s="35">
        <v>0.94</v>
      </c>
      <c r="G206" s="35">
        <v>1.1499999999999999</v>
      </c>
      <c r="H206" s="35">
        <v>1.1200000000000001</v>
      </c>
    </row>
    <row r="207" spans="1:8" x14ac:dyDescent="0.25">
      <c r="A207" s="37" t="s">
        <v>673</v>
      </c>
      <c r="B207" s="37" t="s">
        <v>671</v>
      </c>
      <c r="C207" s="35">
        <v>0.92</v>
      </c>
      <c r="D207" s="35">
        <v>1.06</v>
      </c>
      <c r="E207" s="35">
        <v>1.01</v>
      </c>
      <c r="F207" s="35">
        <v>0.94</v>
      </c>
      <c r="G207" s="35">
        <v>0.97</v>
      </c>
      <c r="H207" s="35">
        <v>0.95</v>
      </c>
    </row>
    <row r="208" spans="1:8" x14ac:dyDescent="0.25">
      <c r="A208" s="37" t="s">
        <v>676</v>
      </c>
      <c r="B208" s="37" t="s">
        <v>674</v>
      </c>
      <c r="C208" s="35">
        <v>1.03</v>
      </c>
      <c r="D208" s="35">
        <v>1.1200000000000001</v>
      </c>
      <c r="E208" s="35">
        <v>1.1299999999999999</v>
      </c>
      <c r="F208" s="35">
        <v>1.03</v>
      </c>
      <c r="G208" s="35">
        <v>0.94</v>
      </c>
      <c r="H208" s="35">
        <v>0.93</v>
      </c>
    </row>
    <row r="209" spans="1:8" x14ac:dyDescent="0.25">
      <c r="A209" s="37" t="s">
        <v>679</v>
      </c>
      <c r="B209" s="37" t="s">
        <v>677</v>
      </c>
      <c r="C209" s="35">
        <v>1.04</v>
      </c>
      <c r="D209" s="35">
        <v>1.0900000000000001</v>
      </c>
      <c r="E209" s="35">
        <v>1.0900000000000001</v>
      </c>
      <c r="F209" s="35">
        <v>1.02</v>
      </c>
      <c r="G209" s="35">
        <v>0.95</v>
      </c>
      <c r="H209" s="35">
        <v>0.88</v>
      </c>
    </row>
    <row r="210" spans="1:8" x14ac:dyDescent="0.25">
      <c r="A210" s="37" t="s">
        <v>682</v>
      </c>
      <c r="B210" s="37" t="s">
        <v>680</v>
      </c>
      <c r="C210" s="35">
        <v>0.95</v>
      </c>
      <c r="D210" s="35">
        <v>1.0900000000000001</v>
      </c>
      <c r="E210" s="35">
        <v>1.1100000000000001</v>
      </c>
      <c r="F210" s="35">
        <v>0.89</v>
      </c>
      <c r="G210" s="35">
        <v>0.99</v>
      </c>
      <c r="H210" s="35">
        <v>1.02</v>
      </c>
    </row>
    <row r="211" spans="1:8" x14ac:dyDescent="0.25">
      <c r="A211" s="37" t="s">
        <v>685</v>
      </c>
      <c r="B211" s="37" t="s">
        <v>683</v>
      </c>
      <c r="C211" s="35">
        <v>1.05</v>
      </c>
      <c r="D211" s="35">
        <v>1.01</v>
      </c>
      <c r="E211" s="35">
        <v>1.04</v>
      </c>
      <c r="F211" s="35">
        <v>1.02</v>
      </c>
      <c r="G211" s="35">
        <v>1.06</v>
      </c>
      <c r="H211" s="35">
        <v>1.08</v>
      </c>
    </row>
    <row r="212" spans="1:8" x14ac:dyDescent="0.25">
      <c r="A212" s="37" t="s">
        <v>688</v>
      </c>
      <c r="B212" s="37" t="s">
        <v>686</v>
      </c>
      <c r="C212" s="35">
        <v>1.1100000000000001</v>
      </c>
      <c r="D212" s="35">
        <v>0.97</v>
      </c>
      <c r="E212" s="35">
        <v>1</v>
      </c>
      <c r="F212" s="35">
        <v>1.1499999999999999</v>
      </c>
      <c r="G212" s="35">
        <v>0.94</v>
      </c>
      <c r="H212" s="35">
        <v>0.95</v>
      </c>
    </row>
    <row r="213" spans="1:8" x14ac:dyDescent="0.25">
      <c r="A213" s="37" t="s">
        <v>691</v>
      </c>
      <c r="B213" s="37" t="s">
        <v>689</v>
      </c>
      <c r="C213" s="35">
        <v>1.1299999999999999</v>
      </c>
      <c r="D213" s="35">
        <v>0.98</v>
      </c>
      <c r="E213" s="35">
        <v>0.96</v>
      </c>
      <c r="F213" s="35">
        <v>1.0900000000000001</v>
      </c>
      <c r="G213" s="35">
        <v>0.91</v>
      </c>
      <c r="H213" s="35">
        <v>0.94</v>
      </c>
    </row>
    <row r="214" spans="1:8" x14ac:dyDescent="0.25">
      <c r="A214" s="37" t="s">
        <v>694</v>
      </c>
      <c r="B214" s="37" t="s">
        <v>692</v>
      </c>
      <c r="C214" s="35">
        <v>1.06</v>
      </c>
      <c r="D214" s="35">
        <v>0.93</v>
      </c>
      <c r="E214" s="35">
        <v>0.92</v>
      </c>
      <c r="F214" s="35">
        <v>1.06</v>
      </c>
      <c r="G214" s="35">
        <v>1.07</v>
      </c>
      <c r="H214" s="35">
        <v>1.1499999999999999</v>
      </c>
    </row>
    <row r="215" spans="1:8" x14ac:dyDescent="0.25">
      <c r="A215" s="37" t="s">
        <v>697</v>
      </c>
      <c r="B215" s="37" t="s">
        <v>695</v>
      </c>
      <c r="C215" s="35">
        <v>1.07</v>
      </c>
      <c r="D215" s="35">
        <v>1.1299999999999999</v>
      </c>
      <c r="E215" s="35">
        <v>1.04</v>
      </c>
      <c r="F215" s="35">
        <v>1.04</v>
      </c>
      <c r="G215" s="35">
        <v>0.94</v>
      </c>
      <c r="H215" s="35">
        <v>0.99</v>
      </c>
    </row>
    <row r="216" spans="1:8" x14ac:dyDescent="0.25">
      <c r="A216" s="37" t="s">
        <v>700</v>
      </c>
      <c r="B216" s="37" t="s">
        <v>698</v>
      </c>
      <c r="C216" s="35">
        <v>1.01</v>
      </c>
      <c r="D216" s="35">
        <v>0.99</v>
      </c>
      <c r="E216" s="35">
        <v>0.98</v>
      </c>
      <c r="F216" s="35">
        <v>0.97</v>
      </c>
      <c r="G216" s="35">
        <v>0.98</v>
      </c>
      <c r="H216" s="35">
        <v>0.99</v>
      </c>
    </row>
    <row r="217" spans="1:8" x14ac:dyDescent="0.25">
      <c r="A217" s="37" t="s">
        <v>703</v>
      </c>
      <c r="B217" s="37" t="s">
        <v>701</v>
      </c>
      <c r="C217" s="35">
        <v>1</v>
      </c>
      <c r="D217" s="35">
        <v>1.0900000000000001</v>
      </c>
      <c r="E217" s="35">
        <v>1.05</v>
      </c>
      <c r="F217" s="35">
        <v>0.99</v>
      </c>
      <c r="G217" s="35">
        <v>0.99</v>
      </c>
      <c r="H217" s="35">
        <v>0.88</v>
      </c>
    </row>
    <row r="218" spans="1:8" x14ac:dyDescent="0.25">
      <c r="A218" s="37" t="s">
        <v>706</v>
      </c>
      <c r="B218" s="37" t="s">
        <v>704</v>
      </c>
      <c r="C218" s="35">
        <v>1</v>
      </c>
      <c r="D218" s="35">
        <v>1</v>
      </c>
      <c r="E218" s="35">
        <v>0.98</v>
      </c>
      <c r="F218" s="35">
        <v>1.1100000000000001</v>
      </c>
      <c r="G218" s="35">
        <v>0.88</v>
      </c>
      <c r="H218" s="35">
        <v>0.95</v>
      </c>
    </row>
    <row r="219" spans="1:8" x14ac:dyDescent="0.25">
      <c r="A219" s="37" t="s">
        <v>709</v>
      </c>
      <c r="B219" s="37" t="s">
        <v>707</v>
      </c>
      <c r="C219" s="35">
        <v>1.0900000000000001</v>
      </c>
      <c r="D219" s="35">
        <v>1.02</v>
      </c>
      <c r="E219" s="35">
        <v>0.98</v>
      </c>
      <c r="F219" s="35">
        <v>1.1499999999999999</v>
      </c>
      <c r="G219" s="35">
        <v>1.07</v>
      </c>
      <c r="H219" s="35">
        <v>1.05</v>
      </c>
    </row>
    <row r="220" spans="1:8" x14ac:dyDescent="0.25">
      <c r="A220" s="37" t="s">
        <v>712</v>
      </c>
      <c r="B220" s="37" t="s">
        <v>710</v>
      </c>
      <c r="C220" s="35">
        <v>1.1000000000000001</v>
      </c>
      <c r="D220" s="35">
        <v>0.96</v>
      </c>
      <c r="E220" s="35">
        <v>0.97</v>
      </c>
      <c r="F220" s="35">
        <v>1.01</v>
      </c>
      <c r="G220" s="35">
        <v>0.95</v>
      </c>
      <c r="H220" s="35">
        <v>0.99</v>
      </c>
    </row>
    <row r="221" spans="1:8" x14ac:dyDescent="0.25">
      <c r="A221" s="37" t="s">
        <v>715</v>
      </c>
      <c r="B221" s="37" t="s">
        <v>713</v>
      </c>
      <c r="C221" s="35">
        <v>1.02</v>
      </c>
      <c r="D221" s="35">
        <v>1.03</v>
      </c>
      <c r="E221" s="35">
        <v>1.07</v>
      </c>
      <c r="F221" s="35">
        <v>0.97</v>
      </c>
      <c r="G221" s="35">
        <v>1.02</v>
      </c>
      <c r="H221" s="35">
        <v>0.96</v>
      </c>
    </row>
    <row r="222" spans="1:8" x14ac:dyDescent="0.25">
      <c r="A222" s="37" t="s">
        <v>718</v>
      </c>
      <c r="B222" s="37" t="s">
        <v>716</v>
      </c>
      <c r="C222" s="35">
        <v>1.05</v>
      </c>
      <c r="D222" s="35">
        <v>1.07</v>
      </c>
      <c r="E222" s="35">
        <v>0.99</v>
      </c>
      <c r="F222" s="35">
        <v>1.05</v>
      </c>
      <c r="G222" s="35">
        <v>0.99</v>
      </c>
      <c r="H222" s="35">
        <v>1.01</v>
      </c>
    </row>
    <row r="223" spans="1:8" x14ac:dyDescent="0.25">
      <c r="A223" s="37" t="s">
        <v>721</v>
      </c>
      <c r="B223" s="37" t="s">
        <v>719</v>
      </c>
      <c r="C223" s="35">
        <v>0.85</v>
      </c>
      <c r="D223" s="35">
        <v>1.05</v>
      </c>
      <c r="E223" s="35">
        <v>1.0900000000000001</v>
      </c>
      <c r="F223" s="35">
        <v>0.85</v>
      </c>
      <c r="G223" s="35">
        <v>0.94</v>
      </c>
      <c r="H223" s="35">
        <v>1</v>
      </c>
    </row>
    <row r="224" spans="1:8" x14ac:dyDescent="0.25">
      <c r="A224" s="37" t="s">
        <v>724</v>
      </c>
      <c r="B224" s="37" t="s">
        <v>722</v>
      </c>
      <c r="C224" s="35">
        <v>1.08</v>
      </c>
      <c r="D224" s="35">
        <v>1.07</v>
      </c>
      <c r="E224" s="35">
        <v>1.03</v>
      </c>
      <c r="F224" s="35">
        <v>1.02</v>
      </c>
      <c r="G224" s="35">
        <v>0.95</v>
      </c>
      <c r="H224" s="35">
        <v>0.95</v>
      </c>
    </row>
    <row r="225" spans="1:8" x14ac:dyDescent="0.25">
      <c r="A225" s="37" t="s">
        <v>727</v>
      </c>
      <c r="B225" s="37" t="s">
        <v>725</v>
      </c>
      <c r="C225" s="35">
        <v>1.03</v>
      </c>
      <c r="D225" s="35">
        <v>1.06</v>
      </c>
      <c r="E225" s="35">
        <v>1.05</v>
      </c>
      <c r="F225" s="35">
        <v>1</v>
      </c>
      <c r="G225" s="35">
        <v>0.99</v>
      </c>
      <c r="H225" s="35">
        <v>0.95</v>
      </c>
    </row>
    <row r="226" spans="1:8" x14ac:dyDescent="0.25">
      <c r="A226" s="37" t="s">
        <v>730</v>
      </c>
      <c r="B226" s="37" t="s">
        <v>728</v>
      </c>
      <c r="C226" s="35">
        <v>1.02</v>
      </c>
      <c r="D226" s="35">
        <v>1.06</v>
      </c>
      <c r="E226" s="35">
        <v>1</v>
      </c>
      <c r="F226" s="35">
        <v>0.99</v>
      </c>
      <c r="G226" s="35">
        <v>0.88</v>
      </c>
      <c r="H226" s="35">
        <v>0.89</v>
      </c>
    </row>
    <row r="227" spans="1:8" x14ac:dyDescent="0.25">
      <c r="A227" s="37" t="s">
        <v>733</v>
      </c>
      <c r="B227" s="37" t="s">
        <v>731</v>
      </c>
      <c r="C227" s="35">
        <v>0.93</v>
      </c>
      <c r="D227" s="35">
        <v>1</v>
      </c>
      <c r="E227" s="35">
        <v>1.05</v>
      </c>
      <c r="F227" s="35">
        <v>0.9</v>
      </c>
      <c r="G227" s="35">
        <v>0.92</v>
      </c>
      <c r="H227" s="35">
        <v>0.95</v>
      </c>
    </row>
    <row r="228" spans="1:8" x14ac:dyDescent="0.25">
      <c r="A228" s="37" t="s">
        <v>736</v>
      </c>
      <c r="B228" s="37" t="s">
        <v>734</v>
      </c>
      <c r="C228" s="35">
        <v>1.03</v>
      </c>
      <c r="D228" s="35">
        <v>1.06</v>
      </c>
      <c r="E228" s="35">
        <v>1.06</v>
      </c>
      <c r="F228" s="35">
        <v>1.02</v>
      </c>
      <c r="G228" s="35">
        <v>1.01</v>
      </c>
      <c r="H228" s="35">
        <v>0.97</v>
      </c>
    </row>
    <row r="230" spans="1:8" x14ac:dyDescent="0.25">
      <c r="A230" s="1" t="s">
        <v>754</v>
      </c>
    </row>
  </sheetData>
  <autoFilter ref="A2:H228" xr:uid="{00000000-0009-0000-0000-000003000000}"/>
  <mergeCells count="1">
    <mergeCell ref="A1:H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8"/>
  <sheetViews>
    <sheetView zoomScaleNormal="100" workbookViewId="0"/>
  </sheetViews>
  <sheetFormatPr baseColWidth="10" defaultColWidth="8.5703125" defaultRowHeight="15" x14ac:dyDescent="0.25"/>
  <cols>
    <col min="1" max="1" width="14" customWidth="1"/>
    <col min="2" max="2" width="80" customWidth="1"/>
    <col min="3" max="3" width="13" customWidth="1"/>
  </cols>
  <sheetData>
    <row r="1" spans="1:3" x14ac:dyDescent="0.25">
      <c r="A1" s="38" t="s">
        <v>9</v>
      </c>
      <c r="B1" s="38" t="s">
        <v>755</v>
      </c>
      <c r="C1" s="38" t="s">
        <v>756</v>
      </c>
    </row>
    <row r="2" spans="1:3" x14ac:dyDescent="0.25">
      <c r="A2" s="39" t="s">
        <v>34</v>
      </c>
      <c r="B2" s="40" t="s">
        <v>757</v>
      </c>
      <c r="C2" s="40">
        <f>COUNTIF('IE1'!$J:$J,A2)</f>
        <v>7</v>
      </c>
    </row>
    <row r="3" spans="1:3" x14ac:dyDescent="0.25">
      <c r="A3" s="41" t="s">
        <v>45</v>
      </c>
      <c r="B3" s="40" t="s">
        <v>758</v>
      </c>
      <c r="C3" s="40">
        <f>COUNTIF('IE1'!$J:$J,A3)</f>
        <v>18</v>
      </c>
    </row>
    <row r="4" spans="1:3" x14ac:dyDescent="0.25">
      <c r="A4" s="42" t="s">
        <v>70</v>
      </c>
      <c r="B4" s="40" t="s">
        <v>759</v>
      </c>
      <c r="C4" s="40">
        <f>COUNTIF('IE1'!$J:$J,A4)</f>
        <v>40</v>
      </c>
    </row>
    <row r="5" spans="1:3" x14ac:dyDescent="0.25">
      <c r="A5" s="43" t="s">
        <v>50</v>
      </c>
      <c r="B5" s="40" t="s">
        <v>760</v>
      </c>
      <c r="C5" s="40">
        <f>COUNTIF('IE1'!$J:$J,A5)</f>
        <v>70</v>
      </c>
    </row>
    <row r="6" spans="1:3" x14ac:dyDescent="0.25">
      <c r="A6" s="44" t="s">
        <v>85</v>
      </c>
      <c r="B6" s="40" t="s">
        <v>761</v>
      </c>
      <c r="C6" s="40">
        <f>COUNTIF('IE1'!$J:$J,A6)</f>
        <v>91</v>
      </c>
    </row>
    <row r="8" spans="1:3" x14ac:dyDescent="0.25">
      <c r="A8" s="1" t="s">
        <v>762</v>
      </c>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28"/>
  <sheetViews>
    <sheetView zoomScaleNormal="100" workbookViewId="0">
      <selection sqref="A1:E1"/>
    </sheetView>
  </sheetViews>
  <sheetFormatPr baseColWidth="10" defaultColWidth="8.5703125" defaultRowHeight="15" x14ac:dyDescent="0.25"/>
  <cols>
    <col min="1" max="1" width="20" customWidth="1"/>
    <col min="2" max="2" width="18" customWidth="1"/>
    <col min="3" max="4" width="15" customWidth="1"/>
    <col min="5" max="5" width="58" customWidth="1"/>
  </cols>
  <sheetData>
    <row r="1" spans="1:5" x14ac:dyDescent="0.25">
      <c r="A1" s="47" t="s">
        <v>763</v>
      </c>
      <c r="B1" s="47"/>
      <c r="C1" s="47"/>
      <c r="D1" s="47"/>
      <c r="E1" s="47"/>
    </row>
    <row r="2" spans="1:5" x14ac:dyDescent="0.25">
      <c r="A2" s="30" t="s">
        <v>2</v>
      </c>
      <c r="B2" s="30" t="s">
        <v>8</v>
      </c>
      <c r="C2" s="30" t="s">
        <v>764</v>
      </c>
      <c r="D2" s="30" t="s">
        <v>765</v>
      </c>
      <c r="E2" s="30" t="s">
        <v>766</v>
      </c>
    </row>
    <row r="3" spans="1:5" x14ac:dyDescent="0.25">
      <c r="A3" s="37" t="s">
        <v>338</v>
      </c>
      <c r="B3" s="31" t="s">
        <v>304</v>
      </c>
      <c r="C3" s="31" t="s">
        <v>38</v>
      </c>
      <c r="D3" s="31" t="s">
        <v>31</v>
      </c>
      <c r="E3" s="37" t="s">
        <v>767</v>
      </c>
    </row>
    <row r="4" spans="1:5" x14ac:dyDescent="0.25">
      <c r="A4" s="37" t="s">
        <v>26</v>
      </c>
      <c r="B4" s="31" t="s">
        <v>33</v>
      </c>
      <c r="C4" s="31" t="s">
        <v>43</v>
      </c>
      <c r="D4" s="31" t="s">
        <v>31</v>
      </c>
      <c r="E4" s="37" t="s">
        <v>768</v>
      </c>
    </row>
    <row r="5" spans="1:5" x14ac:dyDescent="0.25">
      <c r="A5" s="37" t="s">
        <v>77</v>
      </c>
      <c r="B5" s="31" t="s">
        <v>33</v>
      </c>
      <c r="C5" s="31" t="s">
        <v>48</v>
      </c>
      <c r="D5" s="31" t="s">
        <v>31</v>
      </c>
      <c r="E5" s="37" t="s">
        <v>769</v>
      </c>
    </row>
    <row r="6" spans="1:5" x14ac:dyDescent="0.25">
      <c r="A6" s="37" t="s">
        <v>163</v>
      </c>
      <c r="B6" s="31" t="s">
        <v>138</v>
      </c>
      <c r="C6" s="31" t="s">
        <v>48</v>
      </c>
      <c r="D6" s="31" t="s">
        <v>31</v>
      </c>
      <c r="E6" s="37" t="s">
        <v>769</v>
      </c>
    </row>
    <row r="7" spans="1:5" x14ac:dyDescent="0.25">
      <c r="A7" s="37" t="s">
        <v>550</v>
      </c>
      <c r="B7" s="31" t="s">
        <v>549</v>
      </c>
      <c r="C7" s="31" t="s">
        <v>48</v>
      </c>
      <c r="D7" s="31" t="s">
        <v>31</v>
      </c>
      <c r="E7" s="37" t="s">
        <v>770</v>
      </c>
    </row>
    <row r="8" spans="1:5" x14ac:dyDescent="0.25">
      <c r="A8" s="37" t="s">
        <v>565</v>
      </c>
      <c r="B8" s="31" t="s">
        <v>549</v>
      </c>
      <c r="C8" s="31" t="s">
        <v>48</v>
      </c>
      <c r="D8" s="31" t="s">
        <v>31</v>
      </c>
      <c r="E8" s="37" t="s">
        <v>771</v>
      </c>
    </row>
    <row r="9" spans="1:5" x14ac:dyDescent="0.25">
      <c r="A9" s="37" t="s">
        <v>562</v>
      </c>
      <c r="B9" s="31" t="s">
        <v>549</v>
      </c>
      <c r="C9" s="31" t="s">
        <v>38</v>
      </c>
      <c r="D9" s="31" t="s">
        <v>31</v>
      </c>
      <c r="E9" s="37" t="s">
        <v>772</v>
      </c>
    </row>
    <row r="10" spans="1:5" x14ac:dyDescent="0.25">
      <c r="A10" s="37" t="s">
        <v>4</v>
      </c>
      <c r="B10" s="31" t="s">
        <v>549</v>
      </c>
      <c r="C10" s="31" t="s">
        <v>48</v>
      </c>
      <c r="D10" s="31" t="s">
        <v>31</v>
      </c>
      <c r="E10" s="37" t="s">
        <v>773</v>
      </c>
    </row>
    <row r="11" spans="1:5" x14ac:dyDescent="0.25">
      <c r="A11" s="37" t="s">
        <v>559</v>
      </c>
      <c r="B11" s="31" t="s">
        <v>549</v>
      </c>
      <c r="C11" s="31" t="s">
        <v>38</v>
      </c>
      <c r="D11" s="31" t="s">
        <v>31</v>
      </c>
      <c r="E11" s="37" t="s">
        <v>774</v>
      </c>
    </row>
    <row r="12" spans="1:5" x14ac:dyDescent="0.25">
      <c r="A12" s="37" t="s">
        <v>576</v>
      </c>
      <c r="B12" s="31" t="s">
        <v>549</v>
      </c>
      <c r="C12" s="31" t="s">
        <v>54</v>
      </c>
      <c r="D12" s="31" t="s">
        <v>31</v>
      </c>
      <c r="E12" s="37" t="s">
        <v>775</v>
      </c>
    </row>
    <row r="13" spans="1:5" x14ac:dyDescent="0.25">
      <c r="A13" s="37" t="s">
        <v>553</v>
      </c>
      <c r="B13" s="31" t="s">
        <v>549</v>
      </c>
      <c r="C13" s="31" t="s">
        <v>54</v>
      </c>
      <c r="D13" s="31" t="s">
        <v>31</v>
      </c>
      <c r="E13" s="37" t="s">
        <v>776</v>
      </c>
    </row>
    <row r="14" spans="1:5" x14ac:dyDescent="0.25">
      <c r="A14" s="37" t="s">
        <v>571</v>
      </c>
      <c r="B14" s="31" t="s">
        <v>549</v>
      </c>
      <c r="C14" s="31" t="s">
        <v>54</v>
      </c>
      <c r="D14" s="31" t="s">
        <v>31</v>
      </c>
      <c r="E14" s="37" t="s">
        <v>777</v>
      </c>
    </row>
    <row r="15" spans="1:5" x14ac:dyDescent="0.25">
      <c r="A15" s="37" t="s">
        <v>556</v>
      </c>
      <c r="B15" s="31" t="s">
        <v>549</v>
      </c>
      <c r="C15" s="31" t="s">
        <v>43</v>
      </c>
      <c r="D15" s="31" t="s">
        <v>31</v>
      </c>
      <c r="E15" s="37" t="s">
        <v>778</v>
      </c>
    </row>
    <row r="16" spans="1:5" x14ac:dyDescent="0.25">
      <c r="A16" s="37" t="s">
        <v>546</v>
      </c>
      <c r="B16" s="31" t="s">
        <v>549</v>
      </c>
      <c r="C16" s="31" t="s">
        <v>43</v>
      </c>
      <c r="D16" s="31" t="s">
        <v>31</v>
      </c>
      <c r="E16" s="37" t="s">
        <v>779</v>
      </c>
    </row>
    <row r="17" spans="1:5" x14ac:dyDescent="0.25">
      <c r="A17" s="37" t="s">
        <v>568</v>
      </c>
      <c r="B17" s="31" t="s">
        <v>549</v>
      </c>
      <c r="C17" s="31" t="s">
        <v>48</v>
      </c>
      <c r="D17" s="31" t="s">
        <v>31</v>
      </c>
      <c r="E17" s="37" t="s">
        <v>780</v>
      </c>
    </row>
    <row r="18" spans="1:5" x14ac:dyDescent="0.25">
      <c r="A18" s="37" t="s">
        <v>311</v>
      </c>
      <c r="B18" s="31" t="s">
        <v>304</v>
      </c>
      <c r="C18" s="31" t="s">
        <v>43</v>
      </c>
      <c r="D18" s="31" t="s">
        <v>75</v>
      </c>
      <c r="E18" s="37" t="s">
        <v>781</v>
      </c>
    </row>
    <row r="19" spans="1:5" x14ac:dyDescent="0.25">
      <c r="A19" s="37" t="s">
        <v>301</v>
      </c>
      <c r="B19" s="31" t="s">
        <v>304</v>
      </c>
      <c r="C19" s="31" t="s">
        <v>48</v>
      </c>
      <c r="D19" s="31" t="s">
        <v>75</v>
      </c>
      <c r="E19" s="37" t="s">
        <v>782</v>
      </c>
    </row>
    <row r="20" spans="1:5" x14ac:dyDescent="0.25">
      <c r="A20" s="37" t="s">
        <v>619</v>
      </c>
      <c r="B20" s="31" t="s">
        <v>597</v>
      </c>
      <c r="C20" s="31" t="s">
        <v>54</v>
      </c>
      <c r="D20" s="31" t="s">
        <v>75</v>
      </c>
      <c r="E20" s="37" t="s">
        <v>783</v>
      </c>
    </row>
    <row r="21" spans="1:5" x14ac:dyDescent="0.25">
      <c r="A21" s="37" t="s">
        <v>390</v>
      </c>
      <c r="B21" s="31" t="s">
        <v>353</v>
      </c>
      <c r="C21" s="31" t="s">
        <v>54</v>
      </c>
      <c r="D21" s="31" t="s">
        <v>75</v>
      </c>
      <c r="E21" s="37" t="s">
        <v>783</v>
      </c>
    </row>
    <row r="22" spans="1:5" x14ac:dyDescent="0.25">
      <c r="A22" s="37" t="s">
        <v>73</v>
      </c>
      <c r="B22" s="31" t="s">
        <v>33</v>
      </c>
      <c r="C22" s="31" t="s">
        <v>48</v>
      </c>
      <c r="D22" s="31" t="s">
        <v>75</v>
      </c>
      <c r="E22" s="37" t="s">
        <v>784</v>
      </c>
    </row>
    <row r="23" spans="1:5" x14ac:dyDescent="0.25">
      <c r="A23" s="37" t="s">
        <v>169</v>
      </c>
      <c r="B23" s="31" t="s">
        <v>138</v>
      </c>
      <c r="C23" s="31" t="s">
        <v>38</v>
      </c>
      <c r="D23" s="31" t="s">
        <v>75</v>
      </c>
      <c r="E23" s="37" t="s">
        <v>785</v>
      </c>
    </row>
    <row r="24" spans="1:5" x14ac:dyDescent="0.25">
      <c r="A24" s="37" t="s">
        <v>719</v>
      </c>
      <c r="B24" s="31" t="s">
        <v>84</v>
      </c>
      <c r="C24" s="31" t="s">
        <v>54</v>
      </c>
      <c r="D24" s="31" t="s">
        <v>75</v>
      </c>
      <c r="E24" s="37" t="s">
        <v>783</v>
      </c>
    </row>
    <row r="25" spans="1:5" x14ac:dyDescent="0.25">
      <c r="A25" s="37" t="s">
        <v>280</v>
      </c>
      <c r="B25" s="31" t="s">
        <v>237</v>
      </c>
      <c r="C25" s="31" t="s">
        <v>48</v>
      </c>
      <c r="D25" s="31" t="s">
        <v>75</v>
      </c>
      <c r="E25" s="37" t="s">
        <v>786</v>
      </c>
    </row>
    <row r="26" spans="1:5" x14ac:dyDescent="0.25">
      <c r="A26" s="37" t="s">
        <v>591</v>
      </c>
      <c r="B26" s="31" t="s">
        <v>549</v>
      </c>
      <c r="C26" s="31" t="s">
        <v>43</v>
      </c>
      <c r="D26" s="31" t="s">
        <v>75</v>
      </c>
      <c r="E26" s="37" t="s">
        <v>787</v>
      </c>
    </row>
    <row r="28" spans="1:5" x14ac:dyDescent="0.25">
      <c r="A28" s="1" t="s">
        <v>788</v>
      </c>
    </row>
  </sheetData>
  <mergeCells count="1">
    <mergeCell ref="A1:E1"/>
  </mergeCells>
  <conditionalFormatting sqref="C3:C26">
    <cfRule type="expression" dxfId="11" priority="2">
      <formula>$C3="Celestial"</formula>
    </cfRule>
    <cfRule type="expression" dxfId="10" priority="3">
      <formula>$C3="Dragon"</formula>
    </cfRule>
    <cfRule type="expression" dxfId="9" priority="4">
      <formula>$C3="Wood"</formula>
    </cfRule>
    <cfRule type="expression" dxfId="8" priority="5">
      <formula>$C3="Air"</formula>
    </cfRule>
    <cfRule type="expression" dxfId="7" priority="6">
      <formula>$C3="Fire"</formula>
    </cfRule>
    <cfRule type="expression" dxfId="6" priority="7">
      <formula>$C3="Earth"</formula>
    </cfRule>
  </conditionalFormatting>
  <conditionalFormatting sqref="D3:D26">
    <cfRule type="expression" dxfId="5" priority="8">
      <formula>$D3="Celestial"</formula>
    </cfRule>
    <cfRule type="expression" dxfId="4" priority="9">
      <formula>$D3="Dragon"</formula>
    </cfRule>
    <cfRule type="expression" dxfId="3" priority="10">
      <formula>$D3="Wood"</formula>
    </cfRule>
    <cfRule type="expression" dxfId="2" priority="11">
      <formula>$D3="Air"</formula>
    </cfRule>
    <cfRule type="expression" dxfId="1" priority="12">
      <formula>$D3="Fire"</formula>
    </cfRule>
    <cfRule type="expression" dxfId="0" priority="13">
      <formula>$D3="Earth"</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Ficha</vt:lpstr>
      <vt:lpstr>IE1</vt:lpstr>
      <vt:lpstr>Stats base</vt:lpstr>
      <vt:lpstr>Variación</vt:lpstr>
      <vt:lpstr>Rarezas</vt:lpstr>
      <vt:lpstr>Cambios afinidad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de la Torre Pérez Miguel</cp:lastModifiedBy>
  <cp:revision>0</cp:revision>
  <dcterms:created xsi:type="dcterms:W3CDTF">2026-10-21T19:02:05Z</dcterms:created>
  <dcterms:modified xsi:type="dcterms:W3CDTF">2026-10-21T22:05:56Z</dcterms:modified>
  <dc:language>en-US</dc:language>
</cp:coreProperties>
</file>